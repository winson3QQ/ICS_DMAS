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2" autoFilterDateGrouping="1"/>
  </bookViews>
  <sheets>
    <sheet xmlns:r="http://schemas.openxmlformats.org/officeDocument/2006/relationships" name="Release 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Capability Matrix" sheetId="3" state="visible" r:id="rId3"/>
    <sheet xmlns:r="http://schemas.openxmlformats.org/officeDocument/2006/relationships" name="Golden Paths" sheetId="4" state="visible" r:id="rId4"/>
    <sheet xmlns:r="http://schemas.openxmlformats.org/officeDocument/2006/relationships" name="Maturity Definitions" sheetId="5" state="visible" r:id="rId5"/>
    <sheet xmlns:r="http://schemas.openxmlformats.org/officeDocument/2006/relationships" name="Edition Gates" sheetId="6" state="visible" r:id="rId6"/>
    <sheet xmlns:r="http://schemas.openxmlformats.org/officeDocument/2006/relationships" name="Acceptance Evidence" sheetId="7" state="visible" r:id="rId7"/>
    <sheet xmlns:r="http://schemas.openxmlformats.org/officeDocument/2006/relationships" name="Issue Traceability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Carlito"/>
      <sz val="11"/>
    </font>
    <font>
      <name val="Carlito"/>
      <b val="1"/>
      <color rgb="FF1F2937"/>
      <sz val="16"/>
    </font>
    <font>
      <name val="Carlito"/>
      <color rgb="FF4B5563"/>
      <sz val="10"/>
    </font>
    <font>
      <name val="Carlito"/>
      <b val="1"/>
      <color rgb="FF1F2937"/>
      <sz val="11"/>
    </font>
    <font>
      <name val="Carlito"/>
      <color rgb="FF374151"/>
      <sz val="10"/>
    </font>
    <font>
      <name val="Carlito"/>
      <color rgb="FF111827"/>
      <sz val="10"/>
    </font>
    <font>
      <name val="Aptos"/>
      <sz val="10"/>
    </font>
    <font>
      <name val="Aptos"/>
      <b val="1"/>
      <color rgb="FF1F2937"/>
      <sz val="16"/>
    </font>
    <font>
      <name val="Carlito"/>
      <b val="1"/>
      <sz val="14"/>
    </font>
    <font>
      <name val="Carlito"/>
      <i val="1"/>
      <sz val="10"/>
    </font>
    <font>
      <name val="Carlito"/>
      <b val="1"/>
      <color rgb="FFFFFFFF"/>
      <sz val="11"/>
    </font>
    <font>
      <name val="Carlito"/>
      <b val="1"/>
      <sz val="12"/>
    </font>
    <font>
      <name val="Carlito"/>
      <sz val="11"/>
    </font>
    <font>
      <name val="Wawati TC"/>
      <charset val="136"/>
      <family val="3"/>
      <sz val="9"/>
    </font>
    <font>
      <name val="Carlito"/>
      <sz val="16"/>
    </font>
    <font>
      <name val="Aptos"/>
      <sz val="16"/>
    </font>
    <font>
      <name val="Carlito"/>
      <color rgb="FF4B5563"/>
      <sz val="16"/>
    </font>
    <font>
      <name val="Carlito"/>
      <color rgb="FF111827"/>
      <sz val="16"/>
    </font>
    <font>
      <b val="1"/>
      <color rgb="001F3A5F"/>
      <sz val="11"/>
    </font>
    <font>
      <b val="1"/>
      <color rgb="00FFFFFF"/>
      <sz val="10"/>
    </font>
    <font>
      <b val="1"/>
      <sz val="10"/>
    </font>
    <font>
      <sz val="10"/>
    </font>
    <font>
      <b val="1"/>
      <color rgb="001F3A5F"/>
      <sz val="14"/>
    </font>
    <font>
      <i val="1"/>
      <color rgb="00666666"/>
      <sz val="9"/>
    </font>
    <font>
      <b val="1"/>
      <color rgb="001F3A5F"/>
      <sz val="13"/>
    </font>
  </fonts>
  <fills count="14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9FA"/>
      </patternFill>
    </fill>
    <fill>
      <patternFill patternType="solid">
        <fgColor rgb="001F3A5F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E8F4FD"/>
      </patternFill>
    </fill>
    <fill>
      <patternFill patternType="solid">
        <fgColor rgb="00EDE7F6"/>
      </patternFill>
    </fill>
    <fill>
      <patternFill patternType="solid">
        <fgColor rgb="00FFEBE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B8CBDD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2">
    <xf numFmtId="0" fontId="12" fillId="0" borderId="1"/>
    <xf numFmtId="0" fontId="12" fillId="0" borderId="1"/>
  </cellStyleXfs>
  <cellXfs count="38">
    <xf numFmtId="0" fontId="0" fillId="0" borderId="0" pivotButton="0" quotePrefix="0" xfId="0"/>
    <xf numFmtId="0" fontId="3" fillId="0" borderId="2" pivotButton="0" quotePrefix="0" xfId="1"/>
    <xf numFmtId="0" fontId="4" fillId="0" borderId="0" pivotButton="0" quotePrefix="0" xfId="1"/>
    <xf numFmtId="0" fontId="5" fillId="0" borderId="0" pivotButton="0" quotePrefix="0" xfId="1"/>
    <xf numFmtId="0" fontId="6" fillId="0" borderId="0" pivotButton="0" quotePrefix="0" xfId="1"/>
    <xf numFmtId="0" fontId="8" fillId="0" borderId="0" pivotButton="0" quotePrefix="0" xfId="1"/>
    <xf numFmtId="0" fontId="9" fillId="0" borderId="0" pivotButton="0" quotePrefix="0" xfId="1"/>
    <xf numFmtId="0" fontId="10" fillId="2" borderId="0" pivotButton="0" quotePrefix="0" xfId="1"/>
    <xf numFmtId="0" fontId="0" fillId="3" borderId="0" applyAlignment="1" pivotButton="0" quotePrefix="0" xfId="1">
      <alignment vertical="top" wrapText="1"/>
    </xf>
    <xf numFmtId="0" fontId="0" fillId="4" borderId="0" applyAlignment="1" pivotButton="0" quotePrefix="0" xfId="1">
      <alignment vertical="top" wrapText="1"/>
    </xf>
    <xf numFmtId="0" fontId="0" fillId="5" borderId="0" applyAlignment="1" pivotButton="0" quotePrefix="0" xfId="1">
      <alignment vertical="top" wrapText="1"/>
    </xf>
    <xf numFmtId="0" fontId="11" fillId="0" borderId="0" pivotButton="0" quotePrefix="0" xfId="1"/>
    <xf numFmtId="0" fontId="0" fillId="3" borderId="0" pivotButton="0" quotePrefix="0" xfId="1"/>
    <xf numFmtId="0" fontId="0" fillId="4" borderId="0" pivotButton="0" quotePrefix="0" xfId="1"/>
    <xf numFmtId="0" fontId="7" fillId="0" borderId="1" pivotButton="0" quotePrefix="0" xfId="1"/>
    <xf numFmtId="0" fontId="0" fillId="0" borderId="1" pivotButton="0" quotePrefix="0" xfId="1"/>
    <xf numFmtId="0" fontId="2" fillId="0" borderId="1" pivotButton="0" quotePrefix="0" xfId="1"/>
    <xf numFmtId="0" fontId="14" fillId="0" borderId="1" pivotButton="0" quotePrefix="0" xfId="1"/>
    <xf numFmtId="0" fontId="15" fillId="0" borderId="0" pivotButton="0" quotePrefix="0" xfId="1"/>
    <xf numFmtId="0" fontId="14" fillId="0" borderId="0" pivotButton="0" quotePrefix="0" xfId="0"/>
    <xf numFmtId="0" fontId="16" fillId="0" borderId="1" pivotButton="0" quotePrefix="0" xfId="1"/>
    <xf numFmtId="0" fontId="1" fillId="0" borderId="2" pivotButton="0" quotePrefix="0" xfId="1"/>
    <xf numFmtId="0" fontId="17" fillId="0" borderId="0" pivotButton="0" quotePrefix="0" xfId="1"/>
    <xf numFmtId="0" fontId="22" fillId="0" borderId="0" applyAlignment="1" pivotButton="0" quotePrefix="0" xfId="0">
      <alignment horizontal="left" vertical="center"/>
    </xf>
    <xf numFmtId="0" fontId="23" fillId="0" borderId="0" pivotButton="0" quotePrefix="0" xfId="0"/>
    <xf numFmtId="0" fontId="18" fillId="0" borderId="0" pivotButton="0" quotePrefix="0" xfId="0"/>
    <xf numFmtId="0" fontId="19" fillId="6" borderId="3" applyAlignment="1" pivotButton="0" quotePrefix="0" xfId="0">
      <alignment horizontal="center" vertical="center" wrapText="1"/>
    </xf>
    <xf numFmtId="0" fontId="21" fillId="8" borderId="3" applyAlignment="1" pivotButton="0" quotePrefix="0" xfId="0">
      <alignment horizontal="left" vertical="top" wrapText="1"/>
    </xf>
    <xf numFmtId="0" fontId="21" fillId="9" borderId="3" applyAlignment="1" pivotButton="0" quotePrefix="0" xfId="0">
      <alignment horizontal="left" vertical="top" wrapText="1"/>
    </xf>
    <xf numFmtId="0" fontId="21" fillId="10" borderId="3" applyAlignment="1" pivotButton="0" quotePrefix="0" xfId="0">
      <alignment horizontal="left" vertical="top" wrapText="1"/>
    </xf>
    <xf numFmtId="0" fontId="21" fillId="11" borderId="3" applyAlignment="1" pivotButton="0" quotePrefix="0" xfId="0">
      <alignment horizontal="left" vertical="top" wrapText="1"/>
    </xf>
    <xf numFmtId="0" fontId="21" fillId="12" borderId="3" applyAlignment="1" pivotButton="0" quotePrefix="0" xfId="0">
      <alignment horizontal="left" vertical="top" wrapText="1"/>
    </xf>
    <xf numFmtId="0" fontId="20" fillId="8" borderId="3" applyAlignment="1" pivotButton="0" quotePrefix="0" xfId="0">
      <alignment horizontal="center" vertical="top" wrapText="1"/>
    </xf>
    <xf numFmtId="0" fontId="21" fillId="13" borderId="3" applyAlignment="1" pivotButton="0" quotePrefix="0" xfId="0">
      <alignment horizontal="left" vertical="top" wrapText="1"/>
    </xf>
    <xf numFmtId="0" fontId="20" fillId="13" borderId="3" applyAlignment="1" pivotButton="0" quotePrefix="0" xfId="0">
      <alignment horizontal="center" vertical="top" wrapText="1"/>
    </xf>
    <xf numFmtId="0" fontId="20" fillId="7" borderId="3" applyAlignment="1" pivotButton="0" quotePrefix="0" xfId="0">
      <alignment horizontal="left" vertical="top" wrapText="1"/>
    </xf>
    <xf numFmtId="0" fontId="21" fillId="7" borderId="3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/>
    </xf>
  </cellXfs>
  <cellStyles count="2">
    <cellStyle name="一般" xfId="0" builtinId="0"/>
    <cellStyle name="Normal" xfId="1"/>
  </cellStyles>
  <dxfs count="23"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  <dxf>
      <font>
        <strike val="0"/>
        <outline val="0"/>
        <shadow val="0"/>
        <sz val="16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ReadmeSummary" displayName="ReadmeSummary" ref="A4:B9" headerRowCount="1">
  <tableColumns count="2">
    <tableColumn id="1" name="項目"/>
    <tableColumn id="2" name="內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admeKpi" displayName="ReadmeKpi" ref="D4:E9" headerRowCount="1">
  <tableColumns count="2">
    <tableColumn id="1" name="KPI"/>
    <tableColumn id="2" name="公式/值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apabilityMatrix" displayName="CapabilityMatrix" ref="A4:T38" headerRowCount="1" headerRowDxfId="2" dataDxfId="0" totalsRowDxfId="1">
  <autoFilter ref="A4:T38"/>
  <tableColumns count="20">
    <tableColumn id="1" name="Capability ID" dataDxfId="22"/>
    <tableColumn id="2" name="Capability" dataDxfId="21"/>
    <tableColumn id="3" name="Capability Group" dataDxfId="20"/>
    <tableColumn id="4" name="Description" dataDxfId="19"/>
    <tableColumn id="5" name="Golden Path(s)" dataDxfId="18"/>
    <tableColumn id="6" name="Primary User(s)" dataDxfId="17"/>
    <tableColumn id="7" name="Current Maturity" dataDxfId="16"/>
    <tableColumn id="8" name="Target Maturity" dataDxfId="15"/>
    <tableColumn id="9" name="Acceptance Criteria" dataDxfId="14"/>
    <tableColumn id="10" name="Edition Gate" dataDxfId="13"/>
    <tableColumn id="11" name="Security Gate / Dependency" dataDxfId="12"/>
    <tableColumn id="12" name="Compliance Mapping" dataDxfId="11"/>
    <tableColumn id="13" name="Data Sensitivity" dataDxfId="10"/>
    <tableColumn id="14" name="Evidence Required" dataDxfId="9"/>
    <tableColumn id="15" name="External Claim" dataDxfId="8"/>
    <tableColumn id="16" name="Status" dataDxfId="7"/>
    <tableColumn id="17" name="Next Action" dataDxfId="6"/>
    <tableColumn id="18" name="Owner" dataDxfId="5"/>
    <tableColumn id="19" name="Priority" dataDxfId="4"/>
    <tableColumn id="20" name="Disclosure" dataDxfId="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GoldenPaths" displayName="GoldenPaths" ref="A4:D9" headerRowCount="1">
  <tableColumns count="4">
    <tableColumn id="1" name="GP ID"/>
    <tableColumn id="2" name="Golden Path"/>
    <tableColumn id="3" name="Description"/>
    <tableColumn id="4" name="Primary U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turityDefinitions" displayName="MaturityDefinitions" ref="A4:D9" headerRowCount="1">
  <tableColumns count="4">
    <tableColumn id="1" name="Level"/>
    <tableColumn id="2" name="Name"/>
    <tableColumn id="3" name="Definition"/>
    <tableColumn id="4" name="Claim Bounda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EditionGates" displayName="EditionGates" ref="A4:D8" headerRowCount="1">
  <tableColumns count="4">
    <tableColumn id="1" name="Edition"/>
    <tableColumn id="2" name="Use Case"/>
    <tableColumn id="3" name="Minimum Conditions"/>
    <tableColumn id="4" name="Disclosure / Deliverable Leve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cceptanceEvidence" displayName="AcceptanceEvidence" ref="A4:D14" headerRowCount="1">
  <tableColumns count="4">
    <tableColumn id="1" name="Capability"/>
    <tableColumn id="2" name="Evidence Required"/>
    <tableColumn id="3" name="Edition / Gate"/>
    <tableColumn id="4" name="Own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42" customWidth="1" min="4" max="4"/>
    <col width="10" customWidth="1" min="5" max="5"/>
    <col width="14" customWidth="1" min="6" max="6"/>
    <col width="40" customWidth="1" min="7" max="7"/>
    <col width="30" customWidth="1" min="8" max="8"/>
    <col width="12" customWidth="1" min="9" max="9"/>
  </cols>
  <sheetData>
    <row r="1" ht="24" customHeight="1">
      <c r="A1" s="23" t="inlineStr">
        <is>
          <t>ICS_DMAS — Release Dashboard</t>
        </is>
      </c>
    </row>
    <row r="2" ht="14" customHeight="1">
      <c r="A2" s="24" t="inlineStr">
        <is>
          <t>Audience: Human owner / Business / Procurement  |  Maintained by Matrix Steward after each Issue closes  |  Technical detail → Capability Matrix sheet</t>
        </is>
      </c>
    </row>
    <row r="3" ht="8" customHeight="1"/>
    <row r="4" ht="18" customHeight="1">
      <c r="A4" s="25" t="inlineStr">
        <is>
          <t>A.  Release Status</t>
        </is>
      </c>
    </row>
    <row r="5" ht="28" customHeight="1">
      <c r="A5" s="26" t="inlineStr">
        <is>
          <t>Release</t>
        </is>
      </c>
      <c r="B5" s="26" t="inlineStr">
        <is>
          <t>Edition</t>
        </is>
      </c>
      <c r="C5" s="26" t="inlineStr">
        <is>
          <t>GP Scope</t>
        </is>
      </c>
      <c r="D5" s="26" t="inlineStr">
        <is>
          <t>P0 Issues</t>
        </is>
      </c>
      <c r="E5" s="26" t="inlineStr">
        <is>
          <t>P1 Issues</t>
        </is>
      </c>
      <c r="F5" s="26" t="inlineStr">
        <is>
          <t>Status</t>
        </is>
      </c>
      <c r="G5" s="26" t="inlineStr">
        <is>
          <t>Claims (after Release Acceptance)</t>
        </is>
      </c>
      <c r="H5" s="26" t="inlineStr">
        <is>
          <t>GP Scope not included</t>
        </is>
      </c>
      <c r="I5" s="26" t="inlineStr">
        <is>
          <t>Target</t>
        </is>
      </c>
    </row>
    <row r="6" ht="36" customHeight="1">
      <c r="A6" s="27" t="inlineStr">
        <is>
          <t>v0.12.x</t>
        </is>
      </c>
      <c r="B6" s="27" t="inlineStr">
        <is>
          <t>Demo</t>
        </is>
      </c>
      <c r="C6" s="27" t="inlineStr">
        <is>
          <t>—</t>
        </is>
      </c>
      <c r="D6" s="27" t="inlineStr">
        <is>
          <t>CLOSED</t>
        </is>
      </c>
      <c r="E6" s="27" t="inlineStr">
        <is>
          <t>—</t>
        </is>
      </c>
      <c r="F6" s="27" t="inlineStr">
        <is>
          <t>CLOSED</t>
        </is>
      </c>
      <c r="G6" s="27" t="inlineStr">
        <is>
          <t>COP basic demo</t>
        </is>
      </c>
      <c r="H6" s="27" t="inlineStr">
        <is>
          <t>—</t>
        </is>
      </c>
      <c r="I6" s="27" t="inlineStr">
        <is>
          <t>2026-04</t>
        </is>
      </c>
    </row>
    <row r="7" ht="36" customHeight="1">
      <c r="A7" s="28" t="inlineStr">
        <is>
          <t>v0.13.0</t>
        </is>
      </c>
      <c r="B7" s="28" t="inlineStr">
        <is>
          <t>Demo</t>
        </is>
      </c>
      <c r="C7" s="28" t="inlineStr">
        <is>
          <t>—</t>
        </is>
      </c>
      <c r="D7" s="28" t="inlineStr">
        <is>
          <t>#6 CLOSED</t>
        </is>
      </c>
      <c r="E7" s="28" t="inlineStr">
        <is>
          <t>—</t>
        </is>
      </c>
      <c r="F7" s="28" t="inlineStr">
        <is>
          <t>IN PROGRESS</t>
        </is>
      </c>
      <c r="G7" s="28" t="inlineStr">
        <is>
          <t>Pi first-run secure deploy</t>
        </is>
      </c>
      <c r="H7" s="28" t="inlineStr">
        <is>
          <t>TTX, AAR, RBAC, encryption</t>
        </is>
      </c>
      <c r="I7" s="28" t="inlineStr">
        <is>
          <t>2026-05</t>
        </is>
      </c>
    </row>
    <row r="8" ht="36" customHeight="1">
      <c r="A8" s="28" t="inlineStr">
        <is>
          <t>v2.1.0</t>
        </is>
      </c>
      <c r="B8" s="28" t="inlineStr">
        <is>
          <t>Exercise Pro</t>
        </is>
      </c>
      <c r="C8" s="28" t="inlineStr">
        <is>
          <t>GP2 + GP3</t>
        </is>
      </c>
      <c r="D8" s="28" t="inlineStr">
        <is>
          <t>#6✅ #8✅ #11🔄 + TBD</t>
        </is>
      </c>
      <c r="E8" s="28" t="inlineStr">
        <is>
          <t>TBD</t>
        </is>
      </c>
      <c r="F8" s="28" t="inlineStr">
        <is>
          <t>BUILDING</t>
        </is>
      </c>
      <c r="G8" s="28" t="inlineStr">
        <is>
          <t>Field drill support | GP2+GP3 closed | NIST 800-53 scoped | 個資法§27</t>
        </is>
      </c>
      <c r="H8" s="28" t="inlineStr">
        <is>
          <t>TTX MSEL inject | Auto AAR report | Full GovOps</t>
        </is>
      </c>
      <c r="I8" s="28" t="inlineStr">
        <is>
          <t>2026-06</t>
        </is>
      </c>
    </row>
    <row r="9" ht="36" customHeight="1">
      <c r="A9" s="29" t="inlineStr">
        <is>
          <t>v2.2.0</t>
        </is>
      </c>
      <c r="B9" s="29" t="inlineStr">
        <is>
          <t>GovOps</t>
        </is>
      </c>
      <c r="C9" s="29" t="inlineStr">
        <is>
          <t>GP2+GP3+GP4</t>
        </is>
      </c>
      <c r="D9" s="29" t="inlineStr">
        <is>
          <t>—</t>
        </is>
      </c>
      <c r="E9" s="29" t="inlineStr">
        <is>
          <t>TBD</t>
        </is>
      </c>
      <c r="F9" s="29" t="inlineStr">
        <is>
          <t>PLANNED</t>
        </is>
      </c>
      <c r="G9" s="29" t="inlineStr">
        <is>
          <t>First sellable | Full deploy ops | GP4</t>
        </is>
      </c>
      <c r="H9" s="29" t="inlineStr">
        <is>
          <t>TTX MSEL | Auto AAR</t>
        </is>
      </c>
      <c r="I9" s="29" t="inlineStr">
        <is>
          <t>2026-Q3</t>
        </is>
      </c>
    </row>
    <row r="10" ht="36" customHeight="1">
      <c r="A10" s="29" t="inlineStr">
        <is>
          <t>v3.0.0</t>
        </is>
      </c>
      <c r="B10" s="29" t="inlineStr">
        <is>
          <t>GovOps + TTX</t>
        </is>
      </c>
      <c r="C10" s="29" t="inlineStr">
        <is>
          <t>GP1–GP4</t>
        </is>
      </c>
      <c r="D10" s="29" t="inlineStr">
        <is>
          <t>—</t>
        </is>
      </c>
      <c r="E10" s="29" t="inlineStr">
        <is>
          <t>—</t>
        </is>
      </c>
      <c r="F10" s="29" t="inlineStr">
        <is>
          <t>PLANNED</t>
        </is>
      </c>
      <c r="G10" s="29" t="inlineStr">
        <is>
          <t>GP1 TTX+MSEL+AAR closed | HSEEP/NIMS</t>
        </is>
      </c>
      <c r="H10" s="29" t="inlineStr">
        <is>
          <t>—</t>
        </is>
      </c>
      <c r="I10" s="29" t="inlineStr">
        <is>
          <t>2026-Q4</t>
        </is>
      </c>
    </row>
    <row r="11" ht="36" customHeight="1">
      <c r="A11" s="29" t="inlineStr">
        <is>
          <t>v3.1.0</t>
        </is>
      </c>
      <c r="B11" s="29" t="inlineStr">
        <is>
          <t>AI</t>
        </is>
      </c>
      <c r="C11" s="29" t="inlineStr">
        <is>
          <t>GP1–GP4+AI</t>
        </is>
      </c>
      <c r="D11" s="29" t="inlineStr">
        <is>
          <t>—</t>
        </is>
      </c>
      <c r="E11" s="29" t="inlineStr">
        <is>
          <t>—</t>
        </is>
      </c>
      <c r="F11" s="29" t="inlineStr">
        <is>
          <t>PLANNED</t>
        </is>
      </c>
      <c r="G11" s="29" t="inlineStr">
        <is>
          <t>Silent Scribe | AI predict layer</t>
        </is>
      </c>
      <c r="H11" s="29" t="inlineStr">
        <is>
          <t>—</t>
        </is>
      </c>
      <c r="I11" s="29" t="inlineStr">
        <is>
          <t>2027-Q1</t>
        </is>
      </c>
    </row>
    <row r="12" ht="36" customHeight="1">
      <c r="A12" s="29" t="inlineStr">
        <is>
          <t>v3.2.0</t>
        </is>
      </c>
      <c r="B12" s="29" t="inlineStr">
        <is>
          <t>Flagship + ISO</t>
        </is>
      </c>
      <c r="C12" s="29" t="inlineStr">
        <is>
          <t>GP1–GP5</t>
        </is>
      </c>
      <c r="D12" s="29" t="inlineStr">
        <is>
          <t>—</t>
        </is>
      </c>
      <c r="E12" s="29" t="inlineStr">
        <is>
          <t>—</t>
        </is>
      </c>
      <c r="F12" s="29" t="inlineStr">
        <is>
          <t>PLANNED</t>
        </is>
      </c>
      <c r="G12" s="29" t="inlineStr">
        <is>
          <t>ISO 27001/CNS 27001 | GP5 real disaster</t>
        </is>
      </c>
      <c r="H12" s="29" t="inlineStr">
        <is>
          <t>—</t>
        </is>
      </c>
      <c r="I12" s="29" t="inlineStr">
        <is>
          <t>2027-Q2</t>
        </is>
      </c>
    </row>
    <row r="13" ht="8" customHeight="1"/>
    <row r="14" ht="18" customHeight="1">
      <c r="A14" s="25" t="inlineStr">
        <is>
          <t>B.  v2.1.0 Execution Sequence (A → B → C → D → E)</t>
        </is>
      </c>
    </row>
    <row r="15" ht="18" customHeight="1">
      <c r="A15" s="26" t="inlineStr">
        <is>
          <t>Seq</t>
        </is>
      </c>
      <c r="B15" s="26" t="inlineStr">
        <is>
          <t>Group</t>
        </is>
      </c>
      <c r="C15" s="26" t="inlineStr">
        <is>
          <t>Issue</t>
        </is>
      </c>
      <c r="D15" s="26" t="inlineStr">
        <is>
          <t>Title</t>
        </is>
      </c>
      <c r="E15" s="26" t="inlineStr">
        <is>
          <t>Priority</t>
        </is>
      </c>
      <c r="F15" s="26" t="inlineStr">
        <is>
          <t>Status</t>
        </is>
      </c>
      <c r="G15" s="26" t="inlineStr">
        <is>
          <t>Blocks/Depends on</t>
        </is>
      </c>
      <c r="H15" s="26" t="inlineStr">
        <is>
          <t>Note</t>
        </is>
      </c>
    </row>
    <row r="16" ht="28" customHeight="1">
      <c r="A16" s="30" t="inlineStr">
        <is>
          <t>A</t>
        </is>
      </c>
      <c r="B16" s="30" t="inlineStr">
        <is>
          <t>Deploy Infra</t>
        </is>
      </c>
      <c r="C16" s="30" t="inlineStr">
        <is>
          <t>TBD</t>
        </is>
      </c>
      <c r="D16" s="30" t="inlineStr">
        <is>
          <t>Structured logging + collect_debug.sh</t>
        </is>
      </c>
      <c r="E16" s="30" t="inlineStr">
        <is>
          <t>P0</t>
        </is>
      </c>
      <c r="F16" s="30" t="inlineStr">
        <is>
          <t>PLANNED</t>
        </is>
      </c>
      <c r="G16" s="30" t="inlineStr">
        <is>
          <t>None — do first</t>
        </is>
      </c>
      <c r="H16" s="30" t="inlineStr">
        <is>
          <t>Gate B diagnostics for all subsequent tasks</t>
        </is>
      </c>
    </row>
    <row r="17" ht="28" customHeight="1">
      <c r="A17" s="30" t="inlineStr">
        <is>
          <t>A</t>
        </is>
      </c>
      <c r="B17" s="30" t="inlineStr">
        <is>
          <t>Deploy Infra</t>
        </is>
      </c>
      <c r="C17" s="30" t="inlineStr">
        <is>
          <t>TBD</t>
        </is>
      </c>
      <c r="D17" s="30" t="inlineStr">
        <is>
          <t>/health liveness endpoint</t>
        </is>
      </c>
      <c r="E17" s="30" t="inlineStr">
        <is>
          <t>P1</t>
        </is>
      </c>
      <c r="F17" s="30" t="inlineStr">
        <is>
          <t>PLANNED</t>
        </is>
      </c>
      <c r="G17" s="30" t="inlineStr">
        <is>
          <t>None — do first</t>
        </is>
      </c>
      <c r="H17" s="30" t="inlineStr">
        <is>
          <t>Fresh install check; systemd watchdog</t>
        </is>
      </c>
    </row>
    <row r="18" ht="28" customHeight="1">
      <c r="A18" s="27" t="inlineStr">
        <is>
          <t>B</t>
        </is>
      </c>
      <c r="B18" s="27" t="inlineStr">
        <is>
          <t>P0 Security</t>
        </is>
      </c>
      <c r="C18" s="27" t="inlineStr">
        <is>
          <t>#6</t>
        </is>
      </c>
      <c r="D18" s="27" t="inlineStr">
        <is>
          <t>Pi first-run security</t>
        </is>
      </c>
      <c r="E18" s="27" t="inlineStr">
        <is>
          <t>P0</t>
        </is>
      </c>
      <c r="F18" s="27" t="inlineStr">
        <is>
          <t>CLOSED</t>
        </is>
      </c>
      <c r="G18" s="27" t="inlineStr">
        <is>
          <t>—</t>
        </is>
      </c>
      <c r="H18" s="27" t="inlineStr">
        <is>
          <t>PR#7</t>
        </is>
      </c>
    </row>
    <row r="19" ht="28" customHeight="1">
      <c r="A19" s="27" t="inlineStr">
        <is>
          <t>B</t>
        </is>
      </c>
      <c r="B19" s="27" t="inlineStr">
        <is>
          <t>P0 Security</t>
        </is>
      </c>
      <c r="C19" s="27" t="inlineStr">
        <is>
          <t>#8</t>
        </is>
      </c>
      <c r="D19" s="27" t="inlineStr">
        <is>
          <t>WS pre-auth gate</t>
        </is>
      </c>
      <c r="E19" s="27" t="inlineStr">
        <is>
          <t>P0</t>
        </is>
      </c>
      <c r="F19" s="27" t="inlineStr">
        <is>
          <t>CLOSED</t>
        </is>
      </c>
      <c r="G19" s="27" t="inlineStr">
        <is>
          <t>—</t>
        </is>
      </c>
      <c r="H19" s="27" t="inlineStr">
        <is>
          <t>PR#9</t>
        </is>
      </c>
    </row>
    <row r="20" ht="28" customHeight="1">
      <c r="A20" s="28" t="inlineStr">
        <is>
          <t>B</t>
        </is>
      </c>
      <c r="B20" s="28" t="inlineStr">
        <is>
          <t>P0 Security</t>
        </is>
      </c>
      <c r="C20" s="28" t="inlineStr">
        <is>
          <t>#11</t>
        </is>
      </c>
      <c r="D20" s="28" t="inlineStr">
        <is>
          <t>Trusted Ingest HMAC</t>
        </is>
      </c>
      <c r="E20" s="28" t="inlineStr">
        <is>
          <t>P0</t>
        </is>
      </c>
      <c r="F20" s="28" t="inlineStr">
        <is>
          <t>IN PROGRESS</t>
        </is>
      </c>
      <c r="G20" s="28" t="inlineStr">
        <is>
          <t>—</t>
        </is>
      </c>
      <c r="H20" s="28" t="inlineStr">
        <is>
          <t>PR#12</t>
        </is>
      </c>
    </row>
    <row r="21" ht="28" customHeight="1">
      <c r="A21" s="29" t="inlineStr">
        <is>
          <t>B</t>
        </is>
      </c>
      <c r="B21" s="29" t="inlineStr">
        <is>
          <t>P0 Security</t>
        </is>
      </c>
      <c r="C21" s="29" t="inlineStr">
        <is>
          <t>TBD</t>
        </is>
      </c>
      <c r="D21" s="29" t="inlineStr">
        <is>
          <t>Frontend modularise + CSP (CAP-035)</t>
        </is>
      </c>
      <c r="E21" s="29" t="inlineStr">
        <is>
          <t>P0</t>
        </is>
      </c>
      <c r="F21" s="29" t="inlineStr">
        <is>
          <t>PLANNED</t>
        </is>
      </c>
      <c r="G21" s="29" t="inlineStr">
        <is>
          <t>After #11 (Option beta)</t>
        </is>
      </c>
      <c r="H21" s="29" t="inlineStr">
        <is>
          <t>Blocks RBAC</t>
        </is>
      </c>
    </row>
    <row r="22" ht="28" customHeight="1">
      <c r="A22" s="29" t="inlineStr">
        <is>
          <t>B</t>
        </is>
      </c>
      <c r="B22" s="29" t="inlineStr">
        <is>
          <t>P0 Security</t>
        </is>
      </c>
      <c r="C22" s="29" t="inlineStr">
        <is>
          <t>TBD</t>
        </is>
      </c>
      <c r="D22" s="29" t="inlineStr">
        <is>
          <t>4-role RBAC + endpoint gate (CAP-014)</t>
        </is>
      </c>
      <c r="E22" s="29" t="inlineStr">
        <is>
          <t>P0</t>
        </is>
      </c>
      <c r="F22" s="29" t="inlineStr">
        <is>
          <t>PLANNED</t>
        </is>
      </c>
      <c r="G22" s="29" t="inlineStr">
        <is>
          <t>After CAP-035</t>
        </is>
      </c>
      <c r="H22" s="29" t="inlineStr">
        <is>
          <t>Core security</t>
        </is>
      </c>
    </row>
    <row r="23" ht="28" customHeight="1">
      <c r="A23" s="29" t="inlineStr">
        <is>
          <t>B</t>
        </is>
      </c>
      <c r="B23" s="29" t="inlineStr">
        <is>
          <t>P0 Security</t>
        </is>
      </c>
      <c r="C23" s="29" t="inlineStr">
        <is>
          <t>TBD</t>
        </is>
      </c>
      <c r="D23" s="29" t="inlineStr">
        <is>
          <t>WS full security / Encryption / Pi+PWA / DR drill</t>
        </is>
      </c>
      <c r="E23" s="29" t="inlineStr">
        <is>
          <t>P0</t>
        </is>
      </c>
      <c r="F23" s="29" t="inlineStr">
        <is>
          <t>PLANNED</t>
        </is>
      </c>
      <c r="G23" s="29" t="inlineStr">
        <is>
          <t>Various</t>
        </is>
      </c>
      <c r="H23" s="29" t="inlineStr">
        <is>
          <t>Multiple P0s</t>
        </is>
      </c>
    </row>
    <row r="24" ht="28" customHeight="1">
      <c r="A24" s="29" t="inlineStr">
        <is>
          <t>C</t>
        </is>
      </c>
      <c r="B24" s="29" t="inlineStr">
        <is>
          <t>P1 Hardening</t>
        </is>
      </c>
      <c r="C24" s="29" t="inlineStr">
        <is>
          <t>TBD</t>
        </is>
      </c>
      <c r="D24" s="29" t="inlineStr">
        <is>
          <t>Session / rate limit / Pi key / SBOM / step-ca / config / IR plan</t>
        </is>
      </c>
      <c r="E24" s="29" t="inlineStr">
        <is>
          <t>P1</t>
        </is>
      </c>
      <c r="F24" s="29" t="inlineStr">
        <is>
          <t>PLANNED</t>
        </is>
      </c>
      <c r="G24" s="29" t="inlineStr">
        <is>
          <t>After P0 all close</t>
        </is>
      </c>
      <c r="H24" s="29" t="inlineStr">
        <is>
          <t>8 issues</t>
        </is>
      </c>
    </row>
    <row r="25" ht="28" customHeight="1">
      <c r="A25" s="29" t="inlineStr">
        <is>
          <t>D</t>
        </is>
      </c>
      <c r="B25" s="29" t="inlineStr">
        <is>
          <t>Feature</t>
        </is>
      </c>
      <c r="C25" s="29" t="inlineStr">
        <is>
          <t>TBD</t>
        </is>
      </c>
      <c r="D25" s="29" t="inlineStr">
        <is>
          <t>COP redesign (heatmap + cluster + search + replay)</t>
        </is>
      </c>
      <c r="E25" s="29" t="inlineStr">
        <is>
          <t>Feature</t>
        </is>
      </c>
      <c r="F25" s="29" t="inlineStr">
        <is>
          <t>PLANNED</t>
        </is>
      </c>
      <c r="G25" s="29" t="inlineStr">
        <is>
          <t>After P1 all close</t>
        </is>
      </c>
      <c r="H25" s="29" t="inlineStr"/>
    </row>
    <row r="26" ht="28" customHeight="1">
      <c r="A26" s="31" t="inlineStr">
        <is>
          <t>E</t>
        </is>
      </c>
      <c r="B26" s="31" t="inlineStr">
        <is>
          <t>Release Acceptance</t>
        </is>
      </c>
      <c r="C26" s="31" t="inlineStr">
        <is>
          <t>—</t>
        </is>
      </c>
      <c r="D26" s="31" t="inlineStr">
        <is>
          <t>GP2+GP3 E2E + Fresh install + Multi-Pi + Owner sign-off</t>
        </is>
      </c>
      <c r="E26" s="31" t="inlineStr">
        <is>
          <t>REQUIRED</t>
        </is>
      </c>
      <c r="F26" s="31" t="inlineStr">
        <is>
          <t>PLANNED</t>
        </is>
      </c>
      <c r="G26" s="31" t="inlineStr">
        <is>
          <t>After D</t>
        </is>
      </c>
      <c r="H26" s="31" t="inlineStr">
        <is>
          <t>2 weeks before June exercise</t>
        </is>
      </c>
    </row>
    <row r="27" ht="8" customHeight="1"/>
    <row r="28" ht="18" customHeight="1">
      <c r="A28" s="25" t="inlineStr">
        <is>
          <t>C.  v2.1.0 Claims (only after Release Acceptance sign-off)</t>
        </is>
      </c>
    </row>
    <row r="29" ht="16" customHeight="1">
      <c r="A29" s="26" t="inlineStr">
        <is>
          <t>Claim</t>
        </is>
      </c>
      <c r="B29" s="26" t="inlineStr">
        <is>
          <t>Allowed / Forbidden</t>
        </is>
      </c>
      <c r="C29" s="26" t="inlineStr">
        <is>
          <t>Note</t>
        </is>
      </c>
    </row>
    <row r="30" ht="18" customHeight="1">
      <c r="A30" s="27" t="inlineStr">
        <is>
          <t>Supports field drill (現場演練) procurement</t>
        </is>
      </c>
      <c r="B30" s="32" t="inlineStr">
        <is>
          <t>ALLOWED</t>
        </is>
      </c>
      <c r="C30" s="27" t="inlineStr">
        <is>
          <t>GP2+GP3 closed and Release Acceptance signed off</t>
        </is>
      </c>
    </row>
    <row r="31" ht="18" customHeight="1">
      <c r="A31" s="27" t="inlineStr">
        <is>
          <t>GP2 field report → COP → decision loop</t>
        </is>
      </c>
      <c r="B31" s="32" t="inlineStr">
        <is>
          <t>ALLOWED</t>
        </is>
      </c>
      <c r="C31" s="27" t="inlineStr">
        <is>
          <t>End-to-end verified in Seq E</t>
        </is>
      </c>
    </row>
    <row r="32" ht="18" customHeight="1">
      <c r="A32" s="27" t="inlineStr">
        <is>
          <t>GP3 offline → sync loop</t>
        </is>
      </c>
      <c r="B32" s="32" t="inlineStr">
        <is>
          <t>ALLOWED</t>
        </is>
      </c>
      <c r="C32" s="27" t="inlineStr">
        <is>
          <t>End-to-end verified in Seq E</t>
        </is>
      </c>
    </row>
    <row r="33" ht="18" customHeight="1">
      <c r="A33" s="27" t="inlineStr">
        <is>
          <t>NIST 800-53 Moderate (scoped, self-declared)</t>
        </is>
      </c>
      <c r="B33" s="32" t="inlineStr">
        <is>
          <t>ALLOWED</t>
        </is>
      </c>
      <c r="C33" s="27" t="inlineStr">
        <is>
          <t>After P0+P1 all close</t>
        </is>
      </c>
    </row>
    <row r="34" ht="18" customHeight="1">
      <c r="A34" s="27" t="inlineStr">
        <is>
          <t>Personal Data Act s.27 compliant</t>
        </is>
      </c>
      <c r="B34" s="32" t="inlineStr">
        <is>
          <t>ALLOWED</t>
        </is>
      </c>
      <c r="C34" s="27" t="inlineStr">
        <is>
          <t>After encryption + RBAC close</t>
        </is>
      </c>
    </row>
    <row r="35" ht="18" customHeight="1">
      <c r="A35" s="27" t="inlineStr">
        <is>
          <t>Appendix 10 — 12 items Moderate</t>
        </is>
      </c>
      <c r="B35" s="32" t="inlineStr">
        <is>
          <t>ALLOWED</t>
        </is>
      </c>
      <c r="C35" s="27" t="inlineStr">
        <is>
          <t>After all P0 close</t>
        </is>
      </c>
    </row>
    <row r="36" ht="18" customHeight="1">
      <c r="A36" s="33" t="inlineStr">
        <is>
          <t>TTX MSEL inject supported</t>
        </is>
      </c>
      <c r="B36" s="34" t="inlineStr">
        <is>
          <t>FORBIDDEN</t>
        </is>
      </c>
      <c r="C36" s="33" t="inlineStr">
        <is>
          <t>v3.0.0 scope — NEVER claim for v2.1.0</t>
        </is>
      </c>
    </row>
    <row r="37" ht="18" customHeight="1">
      <c r="A37" s="33" t="inlineStr">
        <is>
          <t>Automatic AAR report generation</t>
        </is>
      </c>
      <c r="B37" s="34" t="inlineStr">
        <is>
          <t>FORBIDDEN</t>
        </is>
      </c>
      <c r="C37" s="33" t="inlineStr">
        <is>
          <t>v3.0.0 scope — NEVER claim for v2.1.0</t>
        </is>
      </c>
    </row>
    <row r="38" ht="18" customHeight="1">
      <c r="A38" s="33" t="inlineStr">
        <is>
          <t>Full formal exercise (正式演訓/TTX)</t>
        </is>
      </c>
      <c r="B38" s="34" t="inlineStr">
        <is>
          <t>FORBIDDEN</t>
        </is>
      </c>
      <c r="C38" s="33" t="inlineStr">
        <is>
          <t>v2.1.0 = field drill only. Use exact phrase "現場演練"</t>
        </is>
      </c>
    </row>
  </sheetData>
  <mergeCells count="5">
    <mergeCell ref="A2:I2"/>
    <mergeCell ref="A28:I28"/>
    <mergeCell ref="A14:I14"/>
    <mergeCell ref="A1:I1"/>
    <mergeCell ref="A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9"/>
  <sheetViews>
    <sheetView zoomScale="210" zoomScaleNormal="210" workbookViewId="0">
      <selection activeCell="E5" sqref="E5"/>
    </sheetView>
  </sheetViews>
  <sheetFormatPr baseColWidth="10" defaultColWidth="8.83203125" defaultRowHeight="14"/>
  <cols>
    <col width="22" customWidth="1" min="1" max="1"/>
    <col width="88" customWidth="1" min="2" max="2"/>
    <col width="26" customWidth="1" min="4" max="4"/>
    <col width="24" customWidth="1" min="5" max="5"/>
  </cols>
  <sheetData>
    <row r="1" ht="28" customHeight="1">
      <c r="A1" s="14" t="inlineStr">
        <is>
          <t>ICS_DMAS Master Capability Matrix</t>
        </is>
      </c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4" customHeight="1">
      <c r="A2" s="16" t="inlineStr">
        <is>
          <t>功能能力總矩陣：把功能、Golden Path、成熟度、版本 gate、資安/合規與驗收證據收斂為單一總控表。</t>
        </is>
      </c>
    </row>
    <row r="4" ht="15" customHeight="1">
      <c r="A4" s="1" t="inlineStr">
        <is>
          <t>項目</t>
        </is>
      </c>
      <c r="B4" s="1" t="inlineStr">
        <is>
          <t>內容</t>
        </is>
      </c>
      <c r="D4" s="1" t="inlineStr">
        <is>
          <t>KPI</t>
        </is>
      </c>
      <c r="E4" s="1" t="inlineStr">
        <is>
          <t>公式/值</t>
        </is>
      </c>
    </row>
    <row r="5">
      <c r="A5" s="2" t="inlineStr">
        <is>
          <t>目的</t>
        </is>
      </c>
      <c r="B5" s="2" t="inlineStr">
        <is>
          <t>作為產品、工程、資安、合規、業務與客戶驗收之共用 capability index。</t>
        </is>
      </c>
      <c r="D5" s="2" t="inlineStr">
        <is>
          <t>Total capabilities</t>
        </is>
      </c>
      <c r="E5" s="2">
        <f>COUNTA('Capability Matrix'!A2:A35)</f>
        <v/>
      </c>
    </row>
    <row r="6">
      <c r="A6" s="2" t="inlineStr">
        <is>
          <t>主表</t>
        </is>
      </c>
      <c r="B6" s="2" t="inlineStr">
        <is>
          <t>Capability Matrix：每個 capability 一列，包含 Golden Path、maturity、acceptance、edition gate、security gate、evidence、claim。</t>
        </is>
      </c>
      <c r="D6" s="2" t="inlineStr">
        <is>
          <t>P0 capabilities</t>
        </is>
      </c>
      <c r="E6" s="2">
        <f>COUNTIF('Capability Matrix'!S2:S35,"P0")</f>
        <v/>
      </c>
    </row>
    <row r="7">
      <c r="A7" s="2" t="inlineStr">
        <is>
          <t>Golden Paths</t>
        </is>
      </c>
      <c r="B7" s="2" t="inlineStr">
        <is>
          <t>GP1 TTX→AAR、GP2 現場回報→COP、GP3 離線同步→AAR、GP4 部署驗收、GP5 真實災害/IR/DR。</t>
        </is>
      </c>
      <c r="D7" s="2" t="inlineStr">
        <is>
          <t>Internal only rows</t>
        </is>
      </c>
      <c r="E7" s="2">
        <f>COUNTIF('Capability Matrix'!T2:T35,"Internal Only")</f>
        <v/>
      </c>
    </row>
    <row r="8">
      <c r="A8" s="2" t="inlineStr">
        <is>
          <t>優先 P0</t>
        </is>
      </c>
      <c r="B8" s="2" t="inlineStr">
        <is>
          <t>Trusted Ingest、WebSocket Pre-auth Gate、Pi/Field Node Sync、QR Offline Snapshot、TTX Inject、Edition Gate、Claim Guardrail。</t>
        </is>
      </c>
      <c r="D8" s="2" t="inlineStr">
        <is>
          <t>Not Started</t>
        </is>
      </c>
      <c r="E8" s="2">
        <f>COUNTIF('Capability Matrix'!P2:P35,"Not Started")</f>
        <v/>
      </c>
    </row>
    <row r="9">
      <c r="A9" s="2" t="inlineStr">
        <is>
          <t>建議使用</t>
        </is>
      </c>
      <c r="B9" s="2" t="inlineStr">
        <is>
          <t>用篩選器查看 P0、GP1、Exercise Pro、GovOps、L0/L1、Internal Only 等。</t>
        </is>
      </c>
      <c r="D9" s="2" t="inlineStr">
        <is>
          <t>Needs Hotfix / Hardening</t>
        </is>
      </c>
      <c r="E9" s="2">
        <f>COUNTIF('Capability Matrix'!P2:P35,"Needs*")</f>
        <v/>
      </c>
    </row>
  </sheetData>
  <mergeCells count="2">
    <mergeCell ref="A1:J1"/>
    <mergeCell ref="A2:J2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9"/>
  <sheetViews>
    <sheetView tabSelected="1" zoomScale="150" zoomScaleNormal="150" workbookViewId="0">
      <pane xSplit="1" ySplit="4" topLeftCell="O14" activePane="bottomRight" state="frozen"/>
      <selection pane="topRight" activeCell="B1" sqref="B1"/>
      <selection pane="bottomLeft" activeCell="A5" sqref="A5"/>
      <selection pane="bottomRight" activeCell="J4" sqref="J4"/>
    </sheetView>
  </sheetViews>
  <sheetFormatPr baseColWidth="10" defaultColWidth="8.83203125" defaultRowHeight="20"/>
  <cols>
    <col width="21" customWidth="1" style="19" min="1" max="1"/>
    <col width="27.1640625" customWidth="1" style="19" min="2" max="2"/>
    <col width="27" customWidth="1" style="19" min="3" max="3"/>
    <col width="42" customWidth="1" style="19" min="4" max="4"/>
    <col width="18" customWidth="1" style="19" min="5" max="5"/>
    <col width="22" customWidth="1" style="19" min="6" max="6"/>
    <col width="16" customWidth="1" style="19" min="7" max="8"/>
    <col width="55" customWidth="1" style="19" min="9" max="9"/>
    <col width="29.83203125" customWidth="1" style="19" min="10" max="10"/>
    <col width="57" customWidth="1" style="19" min="11" max="11"/>
    <col width="32" customWidth="1" style="19" min="12" max="12"/>
    <col width="22" customWidth="1" style="19" min="13" max="13"/>
    <col width="45" customWidth="1" style="19" min="14" max="14"/>
    <col width="36" customWidth="1" style="19" min="15" max="15"/>
    <col width="18" customWidth="1" style="19" min="16" max="16"/>
    <col width="44.83203125" customWidth="1" style="19" min="17" max="17"/>
    <col width="22" customWidth="1" style="19" min="18" max="18"/>
    <col width="10" customWidth="1" style="19" min="19" max="19"/>
    <col width="39.83203125" customWidth="1" style="19" min="20" max="20"/>
    <col width="8.83203125" customWidth="1" style="19" min="21" max="16384"/>
  </cols>
  <sheetData>
    <row r="1" ht="28" customHeight="1">
      <c r="A1" s="14" t="inlineStr">
        <is>
          <t>Capability Matrix</t>
        </is>
      </c>
      <c r="U1" s="18" t="n"/>
      <c r="V1" s="18" t="n"/>
      <c r="W1" s="18" t="n"/>
      <c r="X1" s="18" t="n"/>
      <c r="Y1" s="18" t="n"/>
      <c r="Z1" s="18" t="n"/>
    </row>
    <row r="2" ht="34" customHeight="1">
      <c r="A2" s="20" t="inlineStr">
        <is>
          <t>主表：每列是一項能力，連結 Golden Path、成熟度、版本、資安/合規 gate、驗收證據與下一步。</t>
        </is>
      </c>
    </row>
    <row r="4" ht="42" customHeight="1">
      <c r="A4" s="21" t="inlineStr">
        <is>
          <t>Capability ID</t>
        </is>
      </c>
      <c r="B4" s="21" t="inlineStr">
        <is>
          <t>Capability</t>
        </is>
      </c>
      <c r="C4" s="21" t="inlineStr">
        <is>
          <t>Capability Group</t>
        </is>
      </c>
      <c r="D4" s="21" t="inlineStr">
        <is>
          <t>Description</t>
        </is>
      </c>
      <c r="E4" s="21" t="inlineStr">
        <is>
          <t>Golden Path(s)</t>
        </is>
      </c>
      <c r="F4" s="21" t="inlineStr">
        <is>
          <t>Primary User(s)</t>
        </is>
      </c>
      <c r="G4" s="21" t="inlineStr">
        <is>
          <t>Current Maturity</t>
        </is>
      </c>
      <c r="H4" s="21" t="inlineStr">
        <is>
          <t>Target Maturity</t>
        </is>
      </c>
      <c r="I4" s="21" t="inlineStr">
        <is>
          <t>Acceptance Criteria</t>
        </is>
      </c>
      <c r="J4" s="21" t="inlineStr">
        <is>
          <t>Edition Gate</t>
        </is>
      </c>
      <c r="K4" s="21" t="inlineStr">
        <is>
          <t>Security Gate / Dependency</t>
        </is>
      </c>
      <c r="L4" s="21" t="inlineStr">
        <is>
          <t>Compliance Mapping</t>
        </is>
      </c>
      <c r="M4" s="21" t="inlineStr">
        <is>
          <t>Data Sensitivity</t>
        </is>
      </c>
      <c r="N4" s="21" t="inlineStr">
        <is>
          <t>Evidence Required</t>
        </is>
      </c>
      <c r="O4" s="21" t="inlineStr">
        <is>
          <t>External Claim</t>
        </is>
      </c>
      <c r="P4" s="21" t="inlineStr">
        <is>
          <t>Status</t>
        </is>
      </c>
      <c r="Q4" s="21" t="inlineStr">
        <is>
          <t>Next Action</t>
        </is>
      </c>
      <c r="R4" s="21" t="inlineStr">
        <is>
          <t>Owner</t>
        </is>
      </c>
      <c r="S4" s="21" t="inlineStr">
        <is>
          <t>Priority</t>
        </is>
      </c>
      <c r="T4" s="21" t="inlineStr">
        <is>
          <t>Disclosure</t>
        </is>
      </c>
    </row>
    <row r="5" ht="70" customHeight="1">
      <c r="A5" s="22" t="inlineStr">
        <is>
          <t>CAP-001</t>
        </is>
      </c>
      <c r="B5" s="22" t="inlineStr">
        <is>
          <t>TTX Scenario Database</t>
        </is>
      </c>
      <c r="C5" s="22" t="inlineStr">
        <is>
          <t>TTX / Exercise</t>
        </is>
      </c>
      <c r="D5" s="22" t="inlineStr">
        <is>
          <t>建立、版本化與載入演訓劇本、情境庫、注入時間軸。</t>
        </is>
      </c>
      <c r="E5" s="22" t="inlineStr">
        <is>
          <t>GP1</t>
        </is>
      </c>
      <c r="F5" s="22" t="inlineStr">
        <is>
          <t>演訓導控、PM</t>
        </is>
      </c>
      <c r="G5" s="22" t="inlineStr">
        <is>
          <t>L1</t>
        </is>
      </c>
      <c r="H5" s="22" t="inlineStr">
        <is>
          <t>L2</t>
        </is>
      </c>
      <c r="I5" s="22" t="inlineStr">
        <is>
          <t>可建立劇本、版本、inject 清單；可載入場次；可匯出劇本摘要。</t>
        </is>
      </c>
      <c r="J5" s="22" t="inlineStr">
        <is>
          <t>Exercise Pro</t>
        </is>
      </c>
      <c r="K5" s="22" t="inlineStr">
        <is>
          <t>需 session 隔離；資料不可污染 real session。</t>
        </is>
      </c>
      <c r="L5" s="22" t="inlineStr">
        <is>
          <t>HSEEP / MSEL alignment</t>
        </is>
      </c>
      <c r="M5" s="22" t="inlineStr">
        <is>
          <t>Low–Medium：演訓資料</t>
        </is>
      </c>
      <c r="N5" s="22" t="inlineStr">
        <is>
          <t>劇本匯出、場次紀錄、操作截圖</t>
        </is>
      </c>
      <c r="O5" s="22" t="inlineStr">
        <is>
          <t>支援受控 TTX 劇本管理</t>
        </is>
      </c>
      <c r="P5" s="22" t="inlineStr">
        <is>
          <t>Partial</t>
        </is>
      </c>
      <c r="Q5" s="22" t="inlineStr">
        <is>
          <t>定義劇本 schema、版本規則與 import/export</t>
        </is>
      </c>
      <c r="R5" s="22" t="inlineStr">
        <is>
          <t>Product / TTX</t>
        </is>
      </c>
      <c r="S5" s="22" t="inlineStr">
        <is>
          <t>P1</t>
        </is>
      </c>
      <c r="T5" s="22" t="inlineStr">
        <is>
          <t>Customer Deliverable</t>
        </is>
      </c>
    </row>
    <row r="6" ht="70" customHeight="1">
      <c r="A6" s="22" t="inlineStr">
        <is>
          <t>CAP-002</t>
        </is>
      </c>
      <c r="B6" s="22" t="inlineStr">
        <is>
          <t>TTX Inject</t>
        </is>
      </c>
      <c r="C6" s="22" t="inlineStr">
        <is>
          <t>TTX / Exercise</t>
        </is>
      </c>
      <c r="D6" s="22" t="inlineStr">
        <is>
          <t>依時間、對象、條件注入狀況，記錄送達、閱讀與回應。</t>
        </is>
      </c>
      <c r="E6" s="22" t="inlineStr">
        <is>
          <t>GP1</t>
        </is>
      </c>
      <c r="F6" s="22" t="inlineStr">
        <is>
          <t>演訓導控、各組操作員</t>
        </is>
      </c>
      <c r="G6" s="22" t="inlineStr">
        <is>
          <t>L1</t>
        </is>
      </c>
      <c r="H6" s="22" t="inlineStr">
        <is>
          <t>L3</t>
        </is>
      </c>
      <c r="I6" s="22" t="inlineStr">
        <is>
          <t>可排程、指定對象、記錄送達/閱讀/回應；L3 需 inject 簽章與 audit。</t>
        </is>
      </c>
      <c r="J6" s="22" t="inlineStr">
        <is>
          <t>Exercise Pro / GovOps</t>
        </is>
      </c>
      <c r="K6" s="22" t="inlineStr">
        <is>
          <t>Trusted Ingest；inject signature；TTX/real session mutex。</t>
        </is>
      </c>
      <c r="L6" s="22" t="inlineStr">
        <is>
          <t>HSEEP / MSEL</t>
        </is>
      </c>
      <c r="M6" s="22" t="inlineStr">
        <is>
          <t>Medium：演訓導控資料</t>
        </is>
      </c>
      <c r="N6" s="22" t="inlineStr">
        <is>
          <t>inject log、audit log、簽章驗證測試</t>
        </is>
      </c>
      <c r="O6" s="22" t="inlineStr">
        <is>
          <t>支援 MSEL 式狀況注入</t>
        </is>
      </c>
      <c r="P6" s="22" t="inlineStr">
        <is>
          <t>Partial</t>
        </is>
      </c>
      <c r="Q6" s="22" t="inlineStr">
        <is>
          <t>補 inject 簽章、read receipt、session mutex 驗收</t>
        </is>
      </c>
      <c r="R6" s="22" t="inlineStr">
        <is>
          <t>TTX / Security</t>
        </is>
      </c>
      <c r="S6" s="22" t="inlineStr">
        <is>
          <t>P0</t>
        </is>
      </c>
      <c r="T6" s="22" t="inlineStr">
        <is>
          <t>Internal + Customer Summary</t>
        </is>
      </c>
    </row>
    <row r="7" ht="70" customHeight="1">
      <c r="A7" s="22" t="inlineStr">
        <is>
          <t>CAP-003</t>
        </is>
      </c>
      <c r="B7" s="22" t="inlineStr">
        <is>
          <t>TTX Session Control</t>
        </is>
      </c>
      <c r="C7" s="22" t="inlineStr">
        <is>
          <t>TTX / Exercise</t>
        </is>
      </c>
      <c r="D7" s="22" t="inlineStr">
        <is>
          <t>演訓場次啟動、暫停、加速、結束、封存與 real session 隔離。</t>
        </is>
      </c>
      <c r="E7" s="22" t="inlineStr">
        <is>
          <t>GP1</t>
        </is>
      </c>
      <c r="F7" s="22" t="inlineStr">
        <is>
          <t>演訓導控、PM</t>
        </is>
      </c>
      <c r="G7" s="22" t="inlineStr">
        <is>
          <t>L1</t>
        </is>
      </c>
      <c r="H7" s="22" t="inlineStr">
        <is>
          <t>L3</t>
        </is>
      </c>
      <c r="I7" s="22" t="inlineStr">
        <is>
          <t>場次狀態可切換；real/TTX 資料硬隔離；封存後不可竄改。</t>
        </is>
      </c>
      <c r="J7" s="22" t="inlineStr">
        <is>
          <t>Exercise Pro / GovOps</t>
        </is>
      </c>
      <c r="K7" s="22" t="inlineStr">
        <is>
          <t>session mutex；RBAC；audit evidence。</t>
        </is>
      </c>
      <c r="L7" s="22" t="inlineStr">
        <is>
          <t>HSEEP / AAR-IP</t>
        </is>
      </c>
      <c r="M7" s="22" t="inlineStr">
        <is>
          <t>Medium</t>
        </is>
      </c>
      <c r="N7" s="22" t="inlineStr">
        <is>
          <t>session 狀態紀錄、隔離測試、封存紀錄</t>
        </is>
      </c>
      <c r="O7" s="22" t="inlineStr">
        <is>
          <t>支援受控演訓場次管理</t>
        </is>
      </c>
      <c r="P7" s="22" t="inlineStr">
        <is>
          <t>Partial</t>
        </is>
      </c>
      <c r="Q7" s="22" t="inlineStr">
        <is>
          <t>明確 TTX session lifecycle 與封存規則</t>
        </is>
      </c>
      <c r="R7" s="22" t="inlineStr">
        <is>
          <t>Product / Backend</t>
        </is>
      </c>
      <c r="S7" s="22" t="inlineStr">
        <is>
          <t>P1</t>
        </is>
      </c>
      <c r="T7" s="22" t="inlineStr">
        <is>
          <t>Customer Deliverable</t>
        </is>
      </c>
    </row>
    <row r="8" ht="70" customHeight="1">
      <c r="A8" s="22" t="inlineStr">
        <is>
          <t>CAP-004</t>
        </is>
      </c>
      <c r="B8" s="22" t="inlineStr">
        <is>
          <t>Command COP</t>
        </is>
      </c>
      <c r="C8" s="22" t="inlineStr">
        <is>
          <t>Command / COP</t>
        </is>
      </c>
      <c r="D8" s="22" t="inlineStr">
        <is>
          <t>指揮官態勢總覽：事件、資源、異常、來源時間、告警與趨勢。</t>
        </is>
      </c>
      <c r="E8" s="22" t="inlineStr">
        <is>
          <t>GP2</t>
        </is>
      </c>
      <c r="F8" s="22" t="inlineStr">
        <is>
          <t>指揮官、幕僚</t>
        </is>
      </c>
      <c r="G8" s="22" t="inlineStr">
        <is>
          <t>L1</t>
        </is>
      </c>
      <c r="H8" s="22" t="inlineStr">
        <is>
          <t>L2</t>
        </is>
      </c>
      <c r="I8" s="22" t="inlineStr">
        <is>
          <t>10 秒內看見關鍵態勢；事件/資源/異常有來源時間；可篩選與 drill-down。</t>
        </is>
      </c>
      <c r="J8" s="22" t="inlineStr">
        <is>
          <t>Exercise Pro</t>
        </is>
      </c>
      <c r="K8" s="22" t="inlineStr">
        <is>
          <t>snapshot/sync 需可信；資料衝突需標示。</t>
        </is>
      </c>
      <c r="L8" s="22" t="inlineStr">
        <is>
          <t>NIMS Communications &amp; Information Management</t>
        </is>
      </c>
      <c r="M8" s="22" t="inlineStr">
        <is>
          <t>Medium–High：視輸入資料</t>
        </is>
      </c>
      <c r="N8" s="22" t="inlineStr">
        <is>
          <t>UI 截圖、E2E 測試、資料來源標記</t>
        </is>
      </c>
      <c r="O8" s="22" t="inlineStr">
        <is>
          <t>支援受控演訓 COP</t>
        </is>
      </c>
      <c r="P8" s="22" t="inlineStr">
        <is>
          <t>Partial</t>
        </is>
      </c>
      <c r="Q8" s="22" t="inlineStr">
        <is>
          <t>定義 COP 最小資訊架構與衝突提示</t>
        </is>
      </c>
      <c r="R8" s="22" t="inlineStr">
        <is>
          <t>Product / Frontend</t>
        </is>
      </c>
      <c r="S8" s="22" t="inlineStr">
        <is>
          <t>P1</t>
        </is>
      </c>
      <c r="T8" s="22" t="inlineStr">
        <is>
          <t>Customer Deliverable</t>
        </is>
      </c>
    </row>
    <row r="9" ht="70" customHeight="1">
      <c r="A9" s="22" t="inlineStr">
        <is>
          <t>CAP-005</t>
        </is>
      </c>
      <c r="B9" s="22" t="inlineStr">
        <is>
          <t>Event Timeline</t>
        </is>
      </c>
      <c r="C9" s="22" t="inlineStr">
        <is>
          <t>Command / COP</t>
        </is>
      </c>
      <c r="D9" s="22" t="inlineStr">
        <is>
          <t>將 inject、現場回報、決策、任務、同步事件串成時間線。</t>
        </is>
      </c>
      <c r="E9" s="22" t="inlineStr">
        <is>
          <t>GP1, GP2, GP3</t>
        </is>
      </c>
      <c r="F9" s="22" t="inlineStr">
        <is>
          <t>指揮官、AAR 分析者</t>
        </is>
      </c>
      <c r="G9" s="22" t="inlineStr">
        <is>
          <t>L1</t>
        </is>
      </c>
      <c r="H9" s="22" t="inlineStr">
        <is>
          <t>L3</t>
        </is>
      </c>
      <c r="I9" s="22" t="inlineStr">
        <is>
          <t>可按時間重建事件；L3 需區分當時已知與事後補充。</t>
        </is>
      </c>
      <c r="J9" s="22" t="inlineStr">
        <is>
          <t>Exercise Pro / GovOps</t>
        </is>
      </c>
      <c r="K9" s="22" t="inlineStr">
        <is>
          <t>audit log；clock sync；trusted ingest。</t>
        </is>
      </c>
      <c r="L9" s="22" t="inlineStr">
        <is>
          <t>ICS 214 / AAR evidence</t>
        </is>
      </c>
      <c r="M9" s="22" t="inlineStr">
        <is>
          <t>Medium–High</t>
        </is>
      </c>
      <c r="N9" s="22" t="inlineStr">
        <is>
          <t>timeline 匯出、audit 對照、回放測試</t>
        </is>
      </c>
      <c r="O9" s="22" t="inlineStr">
        <is>
          <t>支援演訓事件時間線</t>
        </is>
      </c>
      <c r="P9" s="22" t="inlineStr">
        <is>
          <t>Partial</t>
        </is>
      </c>
      <c r="Q9" s="22" t="inlineStr">
        <is>
          <t>建立 timeline source model 與 replay view</t>
        </is>
      </c>
      <c r="R9" s="22" t="inlineStr">
        <is>
          <t>Backend / AAR</t>
        </is>
      </c>
      <c r="S9" s="22" t="inlineStr">
        <is>
          <t>P1</t>
        </is>
      </c>
      <c r="T9" s="22" t="inlineStr">
        <is>
          <t>Customer Deliverable</t>
        </is>
      </c>
    </row>
    <row r="10" ht="70" customHeight="1">
      <c r="A10" s="22" t="inlineStr">
        <is>
          <t>CAP-006</t>
        </is>
      </c>
      <c r="B10" s="22" t="inlineStr">
        <is>
          <t>Decision Record</t>
        </is>
      </c>
      <c r="C10" s="22" t="inlineStr">
        <is>
          <t>Command / Workflow</t>
        </is>
      </c>
      <c r="D10" s="22" t="inlineStr">
        <is>
          <t>記錄決策者、時間、依據、決策內容、影響事件與後續任務。</t>
        </is>
      </c>
      <c r="E10" s="22" t="inlineStr">
        <is>
          <t>GP1, GP2</t>
        </is>
      </c>
      <c r="F10" s="22" t="inlineStr">
        <is>
          <t>指揮官、幕僚</t>
        </is>
      </c>
      <c r="G10" s="22" t="inlineStr">
        <is>
          <t>L0</t>
        </is>
      </c>
      <c r="H10" s="22" t="inlineStr">
        <is>
          <t>L3</t>
        </is>
      </c>
      <c r="I10" s="22" t="inlineStr">
        <is>
          <t>可建立決策、關聯事件/任務、記錄依據；L3 需 audit 與 AAR 可追溯。</t>
        </is>
      </c>
      <c r="J10" s="22" t="inlineStr">
        <is>
          <t>GovOps</t>
        </is>
      </c>
      <c r="K10" s="22" t="inlineStr">
        <is>
          <t>RBAC；audit evidence；Unity of Command。</t>
        </is>
      </c>
      <c r="L10" s="22" t="inlineStr">
        <is>
          <t>ICS 214 / NIMS Command &amp; Coordination</t>
        </is>
      </c>
      <c r="M10" s="22" t="inlineStr">
        <is>
          <t>High：決策責任資料</t>
        </is>
      </c>
      <c r="N10" s="22" t="inlineStr">
        <is>
          <t>決策紀錄、AAR link、audit trail</t>
        </is>
      </c>
      <c r="O10" s="22" t="inlineStr">
        <is>
          <t>可支援決策紀錄與 AAR 追溯</t>
        </is>
      </c>
      <c r="P10" s="22" t="inlineStr">
        <is>
          <t>Not Started</t>
        </is>
      </c>
      <c r="Q10" s="22" t="inlineStr">
        <is>
          <t>定義 decision schema 與與 event/task 關聯</t>
        </is>
      </c>
      <c r="R10" s="22" t="inlineStr">
        <is>
          <t>Product / Backend</t>
        </is>
      </c>
      <c r="S10" s="22" t="inlineStr">
        <is>
          <t>P1</t>
        </is>
      </c>
      <c r="T10" s="22" t="inlineStr">
        <is>
          <t>Internal + Customer Summary</t>
        </is>
      </c>
    </row>
    <row r="11" ht="70" customHeight="1">
      <c r="A11" s="22" t="inlineStr">
        <is>
          <t>CAP-007</t>
        </is>
      </c>
      <c r="B11" s="22" t="inlineStr">
        <is>
          <t>Task Assignment</t>
        </is>
      </c>
      <c r="C11" s="22" t="inlineStr">
        <is>
          <t>Command / Workflow</t>
        </is>
      </c>
      <c r="D11" s="22" t="inlineStr">
        <is>
          <t>決策後產生任務，指定責任組、期限、狀態與完成回報。</t>
        </is>
      </c>
      <c r="E11" s="22" t="inlineStr">
        <is>
          <t>GP2</t>
        </is>
      </c>
      <c r="F11" s="22" t="inlineStr">
        <is>
          <t>指揮官、組長、操作員</t>
        </is>
      </c>
      <c r="G11" s="22" t="inlineStr">
        <is>
          <t>L0</t>
        </is>
      </c>
      <c r="H11" s="22" t="inlineStr">
        <is>
          <t>L2</t>
        </is>
      </c>
      <c r="I11" s="22" t="inlineStr">
        <is>
          <t>可建立/指派/更新/結案任務；現場可回報完成。</t>
        </is>
      </c>
      <c r="J11" s="22" t="inlineStr">
        <is>
          <t>Exercise Pro / GovOps</t>
        </is>
      </c>
      <c r="K11" s="22" t="inlineStr">
        <is>
          <t>RBAC；audit log；notification。</t>
        </is>
      </c>
      <c r="L11" s="22" t="inlineStr">
        <is>
          <t>NIMS Resource Management</t>
        </is>
      </c>
      <c r="M11" s="22" t="inlineStr">
        <is>
          <t>Medium</t>
        </is>
      </c>
      <c r="N11" s="22" t="inlineStr">
        <is>
          <t>任務測試、狀態轉換紀錄</t>
        </is>
      </c>
      <c r="O11" s="22" t="inlineStr">
        <is>
          <t>支援受控演訓任務追蹤</t>
        </is>
      </c>
      <c r="P11" s="22" t="inlineStr">
        <is>
          <t>Not Started</t>
        </is>
      </c>
      <c r="Q11" s="22" t="inlineStr">
        <is>
          <t>定義最小 task lifecycle：open/assigned/done/closed</t>
        </is>
      </c>
      <c r="R11" s="22" t="inlineStr">
        <is>
          <t>Product / Backend</t>
        </is>
      </c>
      <c r="S11" s="22" t="inlineStr">
        <is>
          <t>P2</t>
        </is>
      </c>
      <c r="T11" s="22" t="inlineStr">
        <is>
          <t>Customer Deliverable</t>
        </is>
      </c>
    </row>
    <row r="12" ht="70" customHeight="1">
      <c r="A12" s="22" t="inlineStr">
        <is>
          <t>CAP-008</t>
        </is>
      </c>
      <c r="B12" s="22" t="inlineStr">
        <is>
          <t>PWA Field Report</t>
        </is>
      </c>
      <c r="C12" s="22" t="inlineStr">
        <is>
          <t>Field / PWA</t>
        </is>
      </c>
      <c r="D12" s="22" t="inlineStr">
        <is>
          <t>收容、醫療、前進組等現場填報資料，支援低負擔輸入。</t>
        </is>
      </c>
      <c r="E12" s="22" t="inlineStr">
        <is>
          <t>GP2, GP3</t>
        </is>
      </c>
      <c r="F12" s="22" t="inlineStr">
        <is>
          <t>現場操作員、志工</t>
        </is>
      </c>
      <c r="G12" s="22" t="inlineStr">
        <is>
          <t>L1</t>
        </is>
      </c>
      <c r="H12" s="22" t="inlineStr">
        <is>
          <t>L2</t>
        </is>
      </c>
      <c r="I12" s="22" t="inlineStr">
        <is>
          <t>可離線填報、暫存、送出狀態明確；資料格式可被 COP 採用。</t>
        </is>
      </c>
      <c r="J12" s="22" t="inlineStr">
        <is>
          <t>Exercise Pro</t>
        </is>
      </c>
      <c r="K12" s="22" t="inlineStr">
        <is>
          <t>PII policy；input validation；sync signing。</t>
        </is>
      </c>
      <c r="L12" s="22" t="inlineStr">
        <is>
          <t>NIMS Information Management / PII policy</t>
        </is>
      </c>
      <c r="M12" s="22" t="inlineStr">
        <is>
          <t>Medium–High：可能含個資/醫療</t>
        </is>
      </c>
      <c r="N12" s="22" t="inlineStr">
        <is>
          <t>PWA E2E 測試、離線測試、資料欄位清單</t>
        </is>
      </c>
      <c r="O12" s="22" t="inlineStr">
        <is>
          <t>支援現場受控回報</t>
        </is>
      </c>
      <c r="P12" s="22" t="inlineStr">
        <is>
          <t>Partial</t>
        </is>
      </c>
      <c r="Q12" s="22" t="inlineStr">
        <is>
          <t>定義採納/退回/修正流程與 UI 狀態</t>
        </is>
      </c>
      <c r="R12" s="22" t="inlineStr">
        <is>
          <t>PWA / Product</t>
        </is>
      </c>
      <c r="S12" s="22" t="inlineStr">
        <is>
          <t>P1</t>
        </is>
      </c>
      <c r="T12" s="22" t="inlineStr">
        <is>
          <t>Customer Deliverable</t>
        </is>
      </c>
    </row>
    <row r="13" ht="70" customHeight="1">
      <c r="A13" s="22" t="inlineStr">
        <is>
          <t>CAP-009</t>
        </is>
      </c>
      <c r="B13" s="22" t="inlineStr">
        <is>
          <t>Report Adoption Workflow</t>
        </is>
      </c>
      <c r="C13" s="22" t="inlineStr">
        <is>
          <t>Field / Data Quality</t>
        </is>
      </c>
      <c r="D13" s="22" t="inlineStr">
        <is>
          <t>現場回報進 COP 前的採納、退回、修正與衝突裁決流程。</t>
        </is>
      </c>
      <c r="E13" s="22" t="inlineStr">
        <is>
          <t>GP2, GP3</t>
        </is>
      </c>
      <c r="F13" s="22" t="inlineStr">
        <is>
          <t>幕僚、組長、指揮官</t>
        </is>
      </c>
      <c r="G13" s="22" t="inlineStr">
        <is>
          <t>L0</t>
        </is>
      </c>
      <c r="H13" s="22" t="inlineStr">
        <is>
          <t>L3</t>
        </is>
      </c>
      <c r="I13" s="22" t="inlineStr">
        <is>
          <t>每筆回報有 pending/accepted/rejected/superseded 狀態；採納者與理由可追溯。</t>
        </is>
      </c>
      <c r="J13" s="22" t="inlineStr">
        <is>
          <t>GovOps</t>
        </is>
      </c>
      <c r="K13" s="22" t="inlineStr">
        <is>
          <t>RBAC；audit；trusted ingest；conflict resolution。</t>
        </is>
      </c>
      <c r="L13" s="22" t="inlineStr">
        <is>
          <t>NIMS Information Management / AAR evidence</t>
        </is>
      </c>
      <c r="M13" s="22" t="inlineStr">
        <is>
          <t>High</t>
        </is>
      </c>
      <c r="N13" s="22" t="inlineStr">
        <is>
          <t>採納流程測試、audit trail、衝突案例</t>
        </is>
      </c>
      <c r="O13" s="22" t="inlineStr">
        <is>
          <t>可支援資料採納與追溯</t>
        </is>
      </c>
      <c r="P13" s="22" t="inlineStr">
        <is>
          <t>Not Started</t>
        </is>
      </c>
      <c r="Q13" s="22" t="inlineStr">
        <is>
          <t>新增 adoption_status 與 conflict resolution 規格</t>
        </is>
      </c>
      <c r="R13" s="22" t="inlineStr">
        <is>
          <t>Product / Backend</t>
        </is>
      </c>
      <c r="S13" s="22" t="inlineStr">
        <is>
          <t>P1</t>
        </is>
      </c>
      <c r="T13" s="22" t="inlineStr">
        <is>
          <t>Internal + Customer Summary</t>
        </is>
      </c>
    </row>
    <row r="14" ht="70" customHeight="1">
      <c r="A14" s="22" t="inlineStr">
        <is>
          <t>CAP-010</t>
        </is>
      </c>
      <c r="B14" s="22" t="inlineStr">
        <is>
          <t>Pi / Field Node Sync</t>
        </is>
      </c>
      <c r="C14" s="22" t="inlineStr">
        <is>
          <t>Field / Sync</t>
        </is>
      </c>
      <c r="D14" s="22" t="inlineStr">
        <is>
          <t>Pi 或 Field Node 與 Command Dashboard 之間的現場同步能力。</t>
        </is>
      </c>
      <c r="E14" s="22" t="inlineStr">
        <is>
          <t>GP2, GP3</t>
        </is>
      </c>
      <c r="F14" s="22" t="inlineStr">
        <is>
          <t>現場節點、維運</t>
        </is>
      </c>
      <c r="G14" s="22" t="inlineStr">
        <is>
          <t>L1</t>
        </is>
      </c>
      <c r="H14" s="22" t="inlineStr">
        <is>
          <t>L3</t>
        </is>
      </c>
      <c r="I14" s="22" t="inlineStr">
        <is>
          <t>可同步狀態；L3 需 node identity、key rotation、replay protection。</t>
        </is>
      </c>
      <c r="J14" s="22" t="inlineStr">
        <is>
          <t>GovOps / Tactical</t>
        </is>
      </c>
      <c r="K14" s="22" t="inlineStr">
        <is>
          <t>PI-01 CLOSED #6/PR#7; WS-01 CLOSED #8/PR#9; HMAC IN PROGRESS #11/PR#12; API key hash TBD</t>
        </is>
      </c>
      <c r="L14" s="22" t="inlineStr">
        <is>
          <t>NIST SC / IA / OT-like deployment</t>
        </is>
      </c>
      <c r="M14" s="22" t="inlineStr">
        <is>
          <t>High：同步與節點密鑰</t>
        </is>
      </c>
      <c r="N14" s="22" t="inlineStr">
        <is>
          <t>PR#7 PI-01 closed 2026-04-26; PR#9 WS-01 closed 2026-04-26; #11 TI-01 in progress PR#12</t>
        </is>
      </c>
      <c r="O14" s="22" t="inlineStr">
        <is>
          <t>支援現場節點同步</t>
        </is>
      </c>
      <c r="P14" s="22" t="inlineStr">
        <is>
          <t>Partial Hardened</t>
        </is>
      </c>
      <c r="Q14" s="22" t="inlineStr">
        <is>
          <t>Pending #11 (TI-01) close then evaluate L2</t>
        </is>
      </c>
      <c r="R14" s="22" t="inlineStr">
        <is>
          <t>Backend / Node / Security</t>
        </is>
      </c>
      <c r="S14" s="22" t="inlineStr">
        <is>
          <t>P0</t>
        </is>
      </c>
      <c r="T14" s="22" t="inlineStr">
        <is>
          <t>Internal Only</t>
        </is>
      </c>
    </row>
    <row r="15" ht="70" customHeight="1">
      <c r="A15" s="22" t="inlineStr">
        <is>
          <t>CAP-011</t>
        </is>
      </c>
      <c r="B15" s="22" t="inlineStr">
        <is>
          <t>QR Offline Snapshot</t>
        </is>
      </c>
      <c r="C15" s="22" t="inlineStr">
        <is>
          <t>Field / Offline</t>
        </is>
      </c>
      <c r="D15" s="22" t="inlineStr">
        <is>
          <t>斷網時產生/掃描 QR 快照，以離線方式匯入重要狀態。</t>
        </is>
      </c>
      <c r="E15" s="22" t="inlineStr">
        <is>
          <t>GP3</t>
        </is>
      </c>
      <c r="F15" s="22" t="inlineStr">
        <is>
          <t>現場操作員、幕僚</t>
        </is>
      </c>
      <c r="G15" s="22" t="inlineStr">
        <is>
          <t>L1</t>
        </is>
      </c>
      <c r="H15" s="22" t="inlineStr">
        <is>
          <t>L3</t>
        </is>
      </c>
      <c r="I15" s="22" t="inlineStr">
        <is>
          <t>可離線匯入；L3 需簽章、nonce、防重放、來源標示。</t>
        </is>
      </c>
      <c r="J15" s="22" t="inlineStr">
        <is>
          <t>Exercise Pro / GovOps</t>
        </is>
      </c>
      <c r="K15" s="22" t="inlineStr">
        <is>
          <t>Trusted Ingest；QR signature；replay cache。</t>
        </is>
      </c>
      <c r="L15" s="22" t="inlineStr">
        <is>
          <t>NIMS resiliency / AAR evidence</t>
        </is>
      </c>
      <c r="M15" s="22" t="inlineStr">
        <is>
          <t>Medium–High</t>
        </is>
      </c>
      <c r="N15" s="22" t="inlineStr">
        <is>
          <t>QR 匯入測試、簽章驗證、重放拒收測試</t>
        </is>
      </c>
      <c r="O15" s="22" t="inlineStr">
        <is>
          <t>支援斷網備援回報</t>
        </is>
      </c>
      <c r="P15" s="22" t="inlineStr">
        <is>
          <t>Partial</t>
        </is>
      </c>
      <c r="Q15" s="22" t="inlineStr">
        <is>
          <t>定義 QR payload 格式與驗證流程</t>
        </is>
      </c>
      <c r="R15" s="22" t="inlineStr">
        <is>
          <t>PWA / Backend / Security</t>
        </is>
      </c>
      <c r="S15" s="22" t="inlineStr">
        <is>
          <t>P0</t>
        </is>
      </c>
      <c r="T15" s="22" t="inlineStr">
        <is>
          <t>Internal + Customer Summary</t>
        </is>
      </c>
    </row>
    <row r="16" ht="70" customHeight="1">
      <c r="A16" s="22" t="inlineStr">
        <is>
          <t>CAP-012</t>
        </is>
      </c>
      <c r="B16" s="22" t="inlineStr">
        <is>
          <t>Snapshot / Sync Trusted Ingest</t>
        </is>
      </c>
      <c r="C16" s="22" t="inlineStr">
        <is>
          <t>Security / Data Integrity</t>
        </is>
      </c>
      <c r="D16" s="22" t="inlineStr">
        <is>
          <t>所有 snapshot、sync_push、QR、inject 的簽章、nonce、timestamp 與防重放控制。</t>
        </is>
      </c>
      <c r="E16" s="22" t="inlineStr">
        <is>
          <t>GP1, GP2, GP3</t>
        </is>
      </c>
      <c r="F16" s="22" t="inlineStr">
        <is>
          <t>後端、資安、架構師</t>
        </is>
      </c>
      <c r="G16" s="22" t="inlineStr">
        <is>
          <t>L0</t>
        </is>
      </c>
      <c r="H16" s="22" t="inlineStr">
        <is>
          <t>L3</t>
        </is>
      </c>
      <c r="I16" s="22" t="inlineStr">
        <is>
          <t>未簽章資料拒收；重放拒收；body 變更簽章失效；key_id 可追溯。</t>
        </is>
      </c>
      <c r="J16" s="22" t="inlineStr">
        <is>
          <t>Exercise Pro / GovOps</t>
        </is>
      </c>
      <c r="K16" s="22" t="inlineStr">
        <is>
          <t>HMAC/signature；nonce cache；timestamp skew；key rotation。</t>
        </is>
      </c>
      <c r="L16" s="22" t="inlineStr">
        <is>
          <t>NIST IA/SC/SI / Data integrity</t>
        </is>
      </c>
      <c r="M16" s="22" t="inlineStr">
        <is>
          <t>High</t>
        </is>
      </c>
      <c r="N16" s="22" t="inlineStr">
        <is>
          <t>#11 Trusted Ingest HMAC in progress PR#12</t>
        </is>
      </c>
      <c r="O16" s="22" t="inlineStr">
        <is>
          <t>已具資料完整性控制（完成後才可說）</t>
        </is>
      </c>
      <c r="P16" s="22" t="inlineStr">
        <is>
          <t>In Progress</t>
        </is>
      </c>
      <c r="Q16" s="22" t="inlineStr">
        <is>
          <t>#11 TI-01 open (PR#12 in progress); close then evaluate L2</t>
        </is>
      </c>
      <c r="R16" s="22" t="inlineStr">
        <is>
          <t>Security / Backend</t>
        </is>
      </c>
      <c r="S16" s="22" t="inlineStr">
        <is>
          <t>P0</t>
        </is>
      </c>
      <c r="T16" s="22" t="inlineStr">
        <is>
          <t>Internal Only</t>
        </is>
      </c>
    </row>
    <row r="17" ht="70" customHeight="1">
      <c r="A17" s="22" t="inlineStr">
        <is>
          <t>CAP-013</t>
        </is>
      </c>
      <c r="B17" s="22" t="inlineStr">
        <is>
          <t>WebSocket Pre-auth Gate</t>
        </is>
      </c>
      <c r="C17" s="22" t="inlineStr">
        <is>
          <t>Security / Sync</t>
        </is>
      </c>
      <c r="D17" s="22" t="inlineStr">
        <is>
          <t>WebSocket 狀態改變訊息必須先通過 server-side auth gate。</t>
        </is>
      </c>
      <c r="E17" s="22" t="inlineStr">
        <is>
          <t>GP2, GP3</t>
        </is>
      </c>
      <c r="F17" s="22" t="inlineStr">
        <is>
          <t>後端、Node、資安</t>
        </is>
      </c>
      <c r="G17" s="22" t="inlineStr">
        <is>
          <t>L0</t>
        </is>
      </c>
      <c r="H17" s="22" t="inlineStr">
        <is>
          <t>L3</t>
        </is>
      </c>
      <c r="I17" s="22" t="inlineStr">
        <is>
          <t>未 auth client 送 delta/sync_push/clear_table 必須拒絕；禁止 client 自報 role。</t>
        </is>
      </c>
      <c r="J17" s="22" t="inlineStr">
        <is>
          <t>Exercise Pro / GovOps</t>
        </is>
      </c>
      <c r="K17" s="22" t="inlineStr">
        <is>
          <t>WS auth gate；server-side session；role gate。</t>
        </is>
      </c>
      <c r="L17" s="22" t="inlineStr">
        <is>
          <t>NIST AC/IA/SC</t>
        </is>
      </c>
      <c r="M17" s="22" t="inlineStr">
        <is>
          <t>High</t>
        </is>
      </c>
      <c r="N17" s="22" t="inlineStr">
        <is>
          <t>PR#9 WS-01 closed 2026-04-26; 19/19 unit tests pass</t>
        </is>
      </c>
      <c r="O17" s="22" t="inlineStr">
        <is>
          <t>不建議外部宣稱細節</t>
        </is>
      </c>
      <c r="P17" s="22" t="inlineStr">
        <is>
          <t>Partial Hardened</t>
        </is>
      </c>
      <c r="Q17" s="22" t="inlineStr">
        <is>
          <t>Pending #11 (TI-01) close then evaluate L2</t>
        </is>
      </c>
      <c r="R17" s="22" t="inlineStr">
        <is>
          <t>Node / Security</t>
        </is>
      </c>
      <c r="S17" s="22" t="inlineStr">
        <is>
          <t>P0</t>
        </is>
      </c>
      <c r="T17" s="22" t="inlineStr">
        <is>
          <t>Internal Only</t>
        </is>
      </c>
    </row>
    <row r="18" ht="70" customHeight="1">
      <c r="A18" s="22" t="inlineStr">
        <is>
          <t>CAP-014</t>
        </is>
      </c>
      <c r="B18" s="22" t="inlineStr">
        <is>
          <t>RBAC / Endpoint Gate</t>
        </is>
      </c>
      <c r="C18" s="22" t="inlineStr">
        <is>
          <t>Security / Auth</t>
        </is>
      </c>
      <c r="D18" s="22" t="inlineStr">
        <is>
          <t>後端角色權限控管，避免只靠前端或 session-level auth。</t>
        </is>
      </c>
      <c r="E18" s="22" t="inlineStr">
        <is>
          <t>全部</t>
        </is>
      </c>
      <c r="F18" s="22" t="inlineStr">
        <is>
          <t>系統管理員、所有使用者</t>
        </is>
      </c>
      <c r="G18" s="22" t="inlineStr">
        <is>
          <t>L1</t>
        </is>
      </c>
      <c r="H18" s="22" t="inlineStr">
        <is>
          <t>L3</t>
        </is>
      </c>
      <c r="I18" s="22" t="inlineStr">
        <is>
          <t>每個 state-changing endpoint 有 role gate；角色變更立即 revoke session。</t>
        </is>
      </c>
      <c r="J18" s="22" t="inlineStr">
        <is>
          <t>GovOps</t>
        </is>
      </c>
      <c r="K18" s="22" t="inlineStr">
        <is>
          <t>C1-A Phase 2；session revoke；least privilege。</t>
        </is>
      </c>
      <c r="L18" s="22" t="inlineStr">
        <is>
          <t>NIST AC / IA</t>
        </is>
      </c>
      <c r="M18" s="22" t="inlineStr">
        <is>
          <t>High</t>
        </is>
      </c>
      <c r="N18" s="22" t="inlineStr">
        <is>
          <t>RBAC matrix、API tests、session revoke tests</t>
        </is>
      </c>
      <c r="O18" s="22" t="inlineStr">
        <is>
          <t>支援角色權限控管（完成後）</t>
        </is>
      </c>
      <c r="P18" s="22" t="inlineStr">
        <is>
          <t>Partial</t>
        </is>
      </c>
      <c r="Q18" s="22" t="inlineStr">
        <is>
          <t>定義角色 enum、endpoint map 與測試</t>
        </is>
      </c>
      <c r="R18" s="22" t="inlineStr">
        <is>
          <t>Backend / Security</t>
        </is>
      </c>
      <c r="S18" s="22" t="inlineStr">
        <is>
          <t>P1</t>
        </is>
      </c>
      <c r="T18" s="22" t="inlineStr">
        <is>
          <t>Internal + Customer Summary</t>
        </is>
      </c>
    </row>
    <row r="19" ht="70" customHeight="1">
      <c r="A19" s="22" t="inlineStr">
        <is>
          <t>CAP-015</t>
        </is>
      </c>
      <c r="B19" s="22" t="inlineStr">
        <is>
          <t>Audit Evidence</t>
        </is>
      </c>
      <c r="C19" s="22" t="inlineStr">
        <is>
          <t>Security / Audit</t>
        </is>
      </c>
      <c r="D19" s="22" t="inlineStr">
        <is>
          <t>重要操作、資料採納、決策、匯出與 admin 行為的稽核證據。</t>
        </is>
      </c>
      <c r="E19" s="22" t="inlineStr">
        <is>
          <t>GP1, GP2, GP3, GP4, GP5</t>
        </is>
      </c>
      <c r="F19" s="22" t="inlineStr">
        <is>
          <t>資安、PM、客戶驗收</t>
        </is>
      </c>
      <c r="G19" s="22" t="inlineStr">
        <is>
          <t>L1</t>
        </is>
      </c>
      <c r="H19" s="22" t="inlineStr">
        <is>
          <t>L3</t>
        </is>
      </c>
      <c r="I19" s="22" t="inlineStr">
        <is>
          <t>所有重要操作可追溯；L3 需 hash chain、append-only、correlation ID。</t>
        </is>
      </c>
      <c r="J19" s="22" t="inlineStr">
        <is>
          <t>GovOps</t>
        </is>
      </c>
      <c r="K19" s="22" t="inlineStr">
        <is>
          <t>C1-D；不可刪改；retention；correlation ID。</t>
        </is>
      </c>
      <c r="L19" s="22" t="inlineStr">
        <is>
          <t>NIST AU / ICS 214 / AAR evidence</t>
        </is>
      </c>
      <c r="M19" s="22" t="inlineStr">
        <is>
          <t>High</t>
        </is>
      </c>
      <c r="N19" s="22" t="inlineStr">
        <is>
          <t>audit log、hash chain 驗證、reset 不刪 log 測試</t>
        </is>
      </c>
      <c r="O19" s="22" t="inlineStr">
        <is>
          <t>支援稽核追溯（完成後）</t>
        </is>
      </c>
      <c r="P19" s="22" t="inlineStr">
        <is>
          <t>Partial</t>
        </is>
      </c>
      <c r="Q19" s="22" t="inlineStr">
        <is>
          <t>補 hash chain 與禁止 reset 刪 audit</t>
        </is>
      </c>
      <c r="R19" s="22" t="inlineStr">
        <is>
          <t>Backend / Security</t>
        </is>
      </c>
      <c r="S19" s="22" t="inlineStr">
        <is>
          <t>P1</t>
        </is>
      </c>
      <c r="T19" s="22" t="inlineStr">
        <is>
          <t>Internal + Customer Summary</t>
        </is>
      </c>
    </row>
    <row r="20" ht="70" customHeight="1">
      <c r="A20" s="22" t="inlineStr">
        <is>
          <t>CAP-016</t>
        </is>
      </c>
      <c r="B20" s="22" t="inlineStr">
        <is>
          <t>AAR Timeline</t>
        </is>
      </c>
      <c r="C20" s="22" t="inlineStr">
        <is>
          <t>AAR</t>
        </is>
      </c>
      <c r="D20" s="22" t="inlineStr">
        <is>
          <t>從事件、回報、決策與 inject 產生 AAR 時間線。</t>
        </is>
      </c>
      <c r="E20" s="22" t="inlineStr">
        <is>
          <t>GP1, GP3</t>
        </is>
      </c>
      <c r="F20" s="22" t="inlineStr">
        <is>
          <t>演訓顧問、PM、客戶</t>
        </is>
      </c>
      <c r="G20" s="22" t="inlineStr">
        <is>
          <t>L1</t>
        </is>
      </c>
      <c r="H20" s="22" t="inlineStr">
        <is>
          <t>L3</t>
        </is>
      </c>
      <c r="I20" s="22" t="inlineStr">
        <is>
          <t>時間線可重建；每個節點有來源、時間、責任；L3 可回點原始證據。</t>
        </is>
      </c>
      <c r="J20" s="22" t="inlineStr">
        <is>
          <t>Exercise Pro / GovOps</t>
        </is>
      </c>
      <c r="K20" s="22" t="inlineStr">
        <is>
          <t>audit evidence；AAR reproducibility；source provenance。</t>
        </is>
      </c>
      <c r="L20" s="22" t="inlineStr">
        <is>
          <t>HSEEP AAR/IP / ICS 214</t>
        </is>
      </c>
      <c r="M20" s="22" t="inlineStr">
        <is>
          <t>Medium–High</t>
        </is>
      </c>
      <c r="N20" s="22" t="inlineStr">
        <is>
          <t>AAR 匯出、source link、replay 測試</t>
        </is>
      </c>
      <c r="O20" s="22" t="inlineStr">
        <is>
          <t>支援 AAR 時間線</t>
        </is>
      </c>
      <c r="P20" s="22" t="inlineStr">
        <is>
          <t>Partial</t>
        </is>
      </c>
      <c r="Q20" s="22" t="inlineStr">
        <is>
          <t>定義 AAR source map 與回點機制</t>
        </is>
      </c>
      <c r="R20" s="22" t="inlineStr">
        <is>
          <t>AAR / Product</t>
        </is>
      </c>
      <c r="S20" s="22" t="inlineStr">
        <is>
          <t>P1</t>
        </is>
      </c>
      <c r="T20" s="22" t="inlineStr">
        <is>
          <t>Customer Deliverable</t>
        </is>
      </c>
    </row>
    <row r="21" ht="70" customHeight="1">
      <c r="A21" s="22" t="inlineStr">
        <is>
          <t>CAP-017</t>
        </is>
      </c>
      <c r="B21" s="22" t="inlineStr">
        <is>
          <t>AAR Improvement Plan</t>
        </is>
      </c>
      <c r="C21" s="22" t="inlineStr">
        <is>
          <t>AAR</t>
        </is>
      </c>
      <c r="D21" s="22" t="inlineStr">
        <is>
          <t>從演訓發現產生改善事項、責任人、期限與追蹤狀態。</t>
        </is>
      </c>
      <c r="E21" s="22" t="inlineStr">
        <is>
          <t>GP1</t>
        </is>
      </c>
      <c r="F21" s="22" t="inlineStr">
        <is>
          <t>演訓顧問、承辦、客戶主管</t>
        </is>
      </c>
      <c r="G21" s="22" t="inlineStr">
        <is>
          <t>L0</t>
        </is>
      </c>
      <c r="H21" s="22" t="inlineStr">
        <is>
          <t>L2</t>
        </is>
      </c>
      <c r="I21" s="22" t="inlineStr">
        <is>
          <t>可建立 issue、assign owner、due date、status，匯出改善計畫。</t>
        </is>
      </c>
      <c r="J21" s="22" t="inlineStr">
        <is>
          <t>Exercise Pro / GovOps</t>
        </is>
      </c>
      <c r="K21" s="22" t="inlineStr">
        <is>
          <t>與 AAR 結論需有來源；需權限控管。</t>
        </is>
      </c>
      <c r="L21" s="22" t="inlineStr">
        <is>
          <t>HSEEP AAR/IP</t>
        </is>
      </c>
      <c r="M21" s="22" t="inlineStr">
        <is>
          <t>Medium</t>
        </is>
      </c>
      <c r="N21" s="22" t="inlineStr">
        <is>
          <t>改善計畫匯出、狀態追蹤測試</t>
        </is>
      </c>
      <c r="O21" s="22" t="inlineStr">
        <is>
          <t>支援演訓改善事項追蹤</t>
        </is>
      </c>
      <c r="P21" s="22" t="inlineStr">
        <is>
          <t>Not Started</t>
        </is>
      </c>
      <c r="Q21" s="22" t="inlineStr">
        <is>
          <t>定義 improvement item schema 與匯出格式</t>
        </is>
      </c>
      <c r="R21" s="22" t="inlineStr">
        <is>
          <t>AAR / Product</t>
        </is>
      </c>
      <c r="S21" s="22" t="inlineStr">
        <is>
          <t>P2</t>
        </is>
      </c>
      <c r="T21" s="22" t="inlineStr">
        <is>
          <t>Customer Deliverable</t>
        </is>
      </c>
    </row>
    <row r="22" ht="70" customHeight="1">
      <c r="A22" s="22" t="inlineStr">
        <is>
          <t>CAP-018</t>
        </is>
      </c>
      <c r="B22" s="22" t="inlineStr">
        <is>
          <t>HSEEP / MSEL / AAR Alignment</t>
        </is>
      </c>
      <c r="C22" s="22" t="inlineStr">
        <is>
          <t>Compliance / Exercise</t>
        </is>
      </c>
      <c r="D22" s="22" t="inlineStr">
        <is>
          <t>將 TTX 注入、AAR、改善計畫對齊 HSEEP/MSEL/AAR-IP 流程。</t>
        </is>
      </c>
      <c r="E22" s="22" t="inlineStr">
        <is>
          <t>GP1, GP4</t>
        </is>
      </c>
      <c r="F22" s="22" t="inlineStr">
        <is>
          <t>演訓顧問、標案、PM</t>
        </is>
      </c>
      <c r="G22" s="22" t="inlineStr">
        <is>
          <t>L1</t>
        </is>
      </c>
      <c r="H22" s="22" t="inlineStr">
        <is>
          <t>L3</t>
        </is>
      </c>
      <c r="I22" s="22" t="inlineStr">
        <is>
          <t>MSEL 欄位對照、AAR/IP 模板、可產生採購/演訓附件。</t>
        </is>
      </c>
      <c r="J22" s="22" t="inlineStr">
        <is>
          <t>Exercise Pro / GovOps</t>
        </is>
      </c>
      <c r="K22" s="22" t="inlineStr">
        <is>
          <t>claim language：只能說對齊/參考，不能說 certified。</t>
        </is>
      </c>
      <c r="L22" s="22" t="inlineStr">
        <is>
          <t>HSEEP / MSEL / AAR-IP</t>
        </is>
      </c>
      <c r="M22" s="22" t="inlineStr">
        <is>
          <t>Low–Medium</t>
        </is>
      </c>
      <c r="N22" s="22" t="inlineStr">
        <is>
          <t>對照表、範本匯出、演訓報告</t>
        </is>
      </c>
      <c r="O22" s="22" t="inlineStr">
        <is>
          <t>參考 HSEEP 流程並支援 AAR/IP 類輸出</t>
        </is>
      </c>
      <c r="P22" s="22" t="inlineStr">
        <is>
          <t>Partial</t>
        </is>
      </c>
      <c r="Q22" s="22" t="inlineStr">
        <is>
          <t>建立欄位 mapping 與範本</t>
        </is>
      </c>
      <c r="R22" s="22" t="inlineStr">
        <is>
          <t>Compliance / TTX</t>
        </is>
      </c>
      <c r="S22" s="22" t="inlineStr">
        <is>
          <t>P1</t>
        </is>
      </c>
      <c r="T22" s="22" t="inlineStr">
        <is>
          <t>Public / Sales Safe</t>
        </is>
      </c>
    </row>
    <row r="23" ht="70" customHeight="1">
      <c r="A23" s="22" t="inlineStr">
        <is>
          <t>CAP-019</t>
        </is>
      </c>
      <c r="B23" s="22" t="inlineStr">
        <is>
          <t>Resource Status Tracking</t>
        </is>
      </c>
      <c r="C23" s="22" t="inlineStr">
        <is>
          <t>Resource</t>
        </is>
      </c>
      <c r="D23" s="22" t="inlineStr">
        <is>
          <t>追蹤床位、物資、醫療量能、人力等狀態。</t>
        </is>
      </c>
      <c r="E23" s="22" t="inlineStr">
        <is>
          <t>GP2</t>
        </is>
      </c>
      <c r="F23" s="22" t="inlineStr">
        <is>
          <t>幕僚、組長、指揮官</t>
        </is>
      </c>
      <c r="G23" s="22" t="inlineStr">
        <is>
          <t>L1</t>
        </is>
      </c>
      <c r="H23" s="22" t="inlineStr">
        <is>
          <t>L2</t>
        </is>
      </c>
      <c r="I23" s="22" t="inlineStr">
        <is>
          <t>資源狀態可更新、顯示趨勢、標示來源時間；基本異常提示。</t>
        </is>
      </c>
      <c r="J23" s="22" t="inlineStr">
        <is>
          <t>Exercise Pro</t>
        </is>
      </c>
      <c r="K23" s="22" t="inlineStr">
        <is>
          <t>Trusted ingest；input validation。</t>
        </is>
      </c>
      <c r="L23" s="22" t="inlineStr">
        <is>
          <t>NIMS Resource Management</t>
        </is>
      </c>
      <c r="M23" s="22" t="inlineStr">
        <is>
          <t>Medium</t>
        </is>
      </c>
      <c r="N23" s="22" t="inlineStr">
        <is>
          <t>狀態更新測試、COP 顯示、來源紀錄</t>
        </is>
      </c>
      <c r="O23" s="22" t="inlineStr">
        <is>
          <t>支援資源狀態追蹤</t>
        </is>
      </c>
      <c r="P23" s="22" t="inlineStr">
        <is>
          <t>Partial</t>
        </is>
      </c>
      <c r="Q23" s="22" t="inlineStr">
        <is>
          <t>補資料來源與衝突標示</t>
        </is>
      </c>
      <c r="R23" s="22" t="inlineStr">
        <is>
          <t>Product / Backend</t>
        </is>
      </c>
      <c r="S23" s="22" t="inlineStr">
        <is>
          <t>P1</t>
        </is>
      </c>
      <c r="T23" s="22" t="inlineStr">
        <is>
          <t>Customer Deliverable</t>
        </is>
      </c>
    </row>
    <row r="24" ht="70" customHeight="1">
      <c r="A24" s="22" t="inlineStr">
        <is>
          <t>CAP-020</t>
        </is>
      </c>
      <c r="B24" s="22" t="inlineStr">
        <is>
          <t>Resource Request / Dispatch</t>
        </is>
      </c>
      <c r="C24" s="22" t="inlineStr">
        <is>
          <t>Resource</t>
        </is>
      </c>
      <c r="D24" s="22" t="inlineStr">
        <is>
          <t>資源請求、核准、派遣、狀態變更與釋回。</t>
        </is>
      </c>
      <c r="E24" s="22" t="inlineStr">
        <is>
          <t>GP2</t>
        </is>
      </c>
      <c r="F24" s="22" t="inlineStr">
        <is>
          <t>指揮官、幕僚、組長</t>
        </is>
      </c>
      <c r="G24" s="22" t="inlineStr">
        <is>
          <t>L0</t>
        </is>
      </c>
      <c r="H24" s="22" t="inlineStr">
        <is>
          <t>L3</t>
        </is>
      </c>
      <c r="I24" s="22" t="inlineStr">
        <is>
          <t>需求→請求→指派→執行→回報→結案；L3 需可匯出資源紀錄。</t>
        </is>
      </c>
      <c r="J24" s="22" t="inlineStr">
        <is>
          <t>GovOps</t>
        </is>
      </c>
      <c r="K24" s="22" t="inlineStr">
        <is>
          <t>RBAC；audit；resource typing。</t>
        </is>
      </c>
      <c r="L24" s="22" t="inlineStr">
        <is>
          <t>ICS 213RR / ICS 210 / NIMS Resource Management</t>
        </is>
      </c>
      <c r="M24" s="22" t="inlineStr">
        <is>
          <t>Medium–High</t>
        </is>
      </c>
      <c r="N24" s="22" t="inlineStr">
        <is>
          <t>資源請求流程測試、報表、audit</t>
        </is>
      </c>
      <c r="O24" s="22" t="inlineStr">
        <is>
          <t>支援資源請求與派遣（完成後）</t>
        </is>
      </c>
      <c r="P24" s="22" t="inlineStr">
        <is>
          <t>Not Started</t>
        </is>
      </c>
      <c r="Q24" s="22" t="inlineStr">
        <is>
          <t>先定最小 resource request workflow</t>
        </is>
      </c>
      <c r="R24" s="22" t="inlineStr">
        <is>
          <t>Product / Backend</t>
        </is>
      </c>
      <c r="S24" s="22" t="inlineStr">
        <is>
          <t>P2</t>
        </is>
      </c>
      <c r="T24" s="22" t="inlineStr">
        <is>
          <t>Customer Deliverable</t>
        </is>
      </c>
    </row>
    <row r="25" ht="70" customHeight="1">
      <c r="A25" s="22" t="inlineStr">
        <is>
          <t>CAP-021</t>
        </is>
      </c>
      <c r="B25" s="22" t="inlineStr">
        <is>
          <t>Operational Period</t>
        </is>
      </c>
      <c r="C25" s="22" t="inlineStr">
        <is>
          <t>ICS / Workflow</t>
        </is>
      </c>
      <c r="D25" s="22" t="inlineStr">
        <is>
          <t>以 operational period 管理目標、任務、IAP 與報告。</t>
        </is>
      </c>
      <c r="E25" s="22" t="inlineStr">
        <is>
          <t>GP2, GP5</t>
        </is>
      </c>
      <c r="F25" s="22" t="inlineStr">
        <is>
          <t>指揮官、計畫組、幕僚</t>
        </is>
      </c>
      <c r="G25" s="22" t="inlineStr">
        <is>
          <t>L0</t>
        </is>
      </c>
      <c r="H25" s="22" t="inlineStr">
        <is>
          <t>L3</t>
        </is>
      </c>
      <c r="I25" s="22" t="inlineStr">
        <is>
          <t>可建立作業週期、設定目標、關聯事件/資源/AAR。</t>
        </is>
      </c>
      <c r="J25" s="22" t="inlineStr">
        <is>
          <t>GovOps</t>
        </is>
      </c>
      <c r="K25" s="22" t="inlineStr">
        <is>
          <t>NIMS/ICS workflow；RBAC；IAP data model。</t>
        </is>
      </c>
      <c r="L25" s="22" t="inlineStr">
        <is>
          <t>NIMS / ICS Planning P</t>
        </is>
      </c>
      <c r="M25" s="22" t="inlineStr">
        <is>
          <t>Medium–High</t>
        </is>
      </c>
      <c r="N25" s="22" t="inlineStr">
        <is>
          <t>schema、UI、IAP 匯出測試</t>
        </is>
      </c>
      <c r="O25" s="22" t="inlineStr">
        <is>
          <t>後續支援 ICS operational period</t>
        </is>
      </c>
      <c r="P25" s="22" t="inlineStr">
        <is>
          <t>Not Started</t>
        </is>
      </c>
      <c r="Q25" s="22" t="inlineStr">
        <is>
          <t>排入 v3 或 GovOps workflow</t>
        </is>
      </c>
      <c r="R25" s="22" t="inlineStr">
        <is>
          <t>Product / Compliance</t>
        </is>
      </c>
      <c r="S25" s="22" t="inlineStr">
        <is>
          <t>P3</t>
        </is>
      </c>
      <c r="T25" s="22" t="inlineStr">
        <is>
          <t>Customer Summary</t>
        </is>
      </c>
    </row>
    <row r="26" ht="70" customHeight="1">
      <c r="A26" s="22" t="inlineStr">
        <is>
          <t>CAP-022</t>
        </is>
      </c>
      <c r="B26" s="22" t="inlineStr">
        <is>
          <t>ICS Forms Export</t>
        </is>
      </c>
      <c r="C26" s="22" t="inlineStr">
        <is>
          <t>ICS / Reporting</t>
        </is>
      </c>
      <c r="D26" s="22" t="inlineStr">
        <is>
          <t>輸出 ICS 214、201、209、213RR 等表單或相容報表。</t>
        </is>
      </c>
      <c r="E26" s="22" t="inlineStr">
        <is>
          <t>GP1, GP2, GP4</t>
        </is>
      </c>
      <c r="F26" s="22" t="inlineStr">
        <is>
          <t>演訓顧問、客戶承辦、標案</t>
        </is>
      </c>
      <c r="G26" s="22" t="inlineStr">
        <is>
          <t>L1</t>
        </is>
      </c>
      <c r="H26" s="22" t="inlineStr">
        <is>
          <t>L3</t>
        </is>
      </c>
      <c r="I26" s="22" t="inlineStr">
        <is>
          <t>至少 ICS 214 完整；GovOps 需 201/209/213RR 等資料基礎。</t>
        </is>
      </c>
      <c r="J26" s="22" t="inlineStr">
        <is>
          <t>GovOps</t>
        </is>
      </c>
      <c r="K26" s="22" t="inlineStr">
        <is>
          <t>資料欄位完整性；不可過度宣稱 FEMA compliant。</t>
        </is>
      </c>
      <c r="L26" s="22" t="inlineStr">
        <is>
          <t>FEMA ICS Forms / ICS 508</t>
        </is>
      </c>
      <c r="M26" s="22" t="inlineStr">
        <is>
          <t>Medium</t>
        </is>
      </c>
      <c r="N26" s="22" t="inlineStr">
        <is>
          <t>表單匯出、欄位 mapping、樣本報告</t>
        </is>
      </c>
      <c r="O26" s="22" t="inlineStr">
        <is>
          <t>部分對應 FEMA ICS 表單資料需求</t>
        </is>
      </c>
      <c r="P26" s="22" t="inlineStr">
        <is>
          <t>Partial</t>
        </is>
      </c>
      <c r="Q26" s="22" t="inlineStr">
        <is>
          <t>建立 ICS forms coverage matrix 與匯出優先序</t>
        </is>
      </c>
      <c r="R26" s="22" t="inlineStr">
        <is>
          <t>Compliance / Reporting</t>
        </is>
      </c>
      <c r="S26" s="22" t="inlineStr">
        <is>
          <t>P2</t>
        </is>
      </c>
      <c r="T26" s="22" t="inlineStr">
        <is>
          <t>Customer Deliverable</t>
        </is>
      </c>
    </row>
    <row r="27" ht="70" customHeight="1">
      <c r="A27" s="22" t="inlineStr">
        <is>
          <t>CAP-023</t>
        </is>
      </c>
      <c r="B27" s="22" t="inlineStr">
        <is>
          <t>Backup / Restore</t>
        </is>
      </c>
      <c r="C27" s="22" t="inlineStr">
        <is>
          <t>Ops / Reliability</t>
        </is>
      </c>
      <c r="D27" s="22" t="inlineStr">
        <is>
          <t>SQLite online backup、壓縮、驗證、還原演練與異地保存。</t>
        </is>
      </c>
      <c r="E27" s="22" t="inlineStr">
        <is>
          <t>GP4, GP5</t>
        </is>
      </c>
      <c r="F27" s="22" t="inlineStr">
        <is>
          <t>DevOps、客戶 IT</t>
        </is>
      </c>
      <c r="G27" s="22" t="inlineStr">
        <is>
          <t>L1</t>
        </is>
      </c>
      <c r="H27" s="22" t="inlineStr">
        <is>
          <t>L3</t>
        </is>
      </c>
      <c r="I27" s="22" t="inlineStr">
        <is>
          <t>可備份、verify、還原預演；L3 需 DR drill report。</t>
        </is>
      </c>
      <c r="J27" s="22" t="inlineStr">
        <is>
          <t>GovOps</t>
        </is>
      </c>
      <c r="K27" s="22" t="inlineStr">
        <is>
          <t>C3-D；DR playbook；retention。</t>
        </is>
      </c>
      <c r="L27" s="22" t="inlineStr">
        <is>
          <t>NIST CP / Recover</t>
        </is>
      </c>
      <c r="M27" s="22" t="inlineStr">
        <is>
          <t>High：備份可能含個資</t>
        </is>
      </c>
      <c r="N27" s="22" t="inlineStr">
        <is>
          <t>backup log、restore test、DR drill report</t>
        </is>
      </c>
      <c r="O27" s="22" t="inlineStr">
        <is>
          <t>支援備份與還原機制</t>
        </is>
      </c>
      <c r="P27" s="22" t="inlineStr">
        <is>
          <t>Partial</t>
        </is>
      </c>
      <c r="Q27" s="22" t="inlineStr">
        <is>
          <t>補 systemd/timer、DR playbook、演練紀錄</t>
        </is>
      </c>
      <c r="R27" s="22" t="inlineStr">
        <is>
          <t>DevOps / Backend</t>
        </is>
      </c>
      <c r="S27" s="22" t="inlineStr">
        <is>
          <t>P1</t>
        </is>
      </c>
      <c r="T27" s="22" t="inlineStr">
        <is>
          <t>Customer Deliverable</t>
        </is>
      </c>
    </row>
    <row r="28" ht="70" customHeight="1">
      <c r="A28" s="22" t="inlineStr">
        <is>
          <t>CAP-024</t>
        </is>
      </c>
      <c r="B28" s="22" t="inlineStr">
        <is>
          <t>Deployment / Health Check</t>
        </is>
      </c>
      <c r="C28" s="22" t="inlineStr">
        <is>
          <t>Ops / Deployment</t>
        </is>
      </c>
      <c r="D28" s="22" t="inlineStr">
        <is>
          <t>部署拓撲、健康檢查、metrics、憑證、服務啟停與維運手冊。</t>
        </is>
      </c>
      <c r="E28" s="22" t="inlineStr">
        <is>
          <t>GP4</t>
        </is>
      </c>
      <c r="F28" s="22" t="inlineStr">
        <is>
          <t>DevOps、客戶 IT、資安</t>
        </is>
      </c>
      <c r="G28" s="22" t="inlineStr">
        <is>
          <t>L1</t>
        </is>
      </c>
      <c r="H28" s="22" t="inlineStr">
        <is>
          <t>L3</t>
        </is>
      </c>
      <c r="I28" s="22" t="inlineStr">
        <is>
          <t>新工程師可照文件部署；health/metrics 可監控；prod 強制 TLS。</t>
        </is>
      </c>
      <c r="J28" s="22" t="inlineStr">
        <is>
          <t>GovOps</t>
        </is>
      </c>
      <c r="K28" s="22" t="inlineStr">
        <is>
          <t>C3；STRICT_TLS；nginx/step-ca；systemd。</t>
        </is>
      </c>
      <c r="L28" s="22" t="inlineStr">
        <is>
          <t>NIST CM / SC / Operations</t>
        </is>
      </c>
      <c r="M28" s="22" t="inlineStr">
        <is>
          <t>Medium</t>
        </is>
      </c>
      <c r="N28" s="22" t="inlineStr">
        <is>
          <t>部署 runbook、health output、TLS 驗證</t>
        </is>
      </c>
      <c r="O28" s="22" t="inlineStr">
        <is>
          <t>支援可維運部署</t>
        </is>
      </c>
      <c r="P28" s="22" t="inlineStr">
        <is>
          <t>Partial</t>
        </is>
      </c>
      <c r="Q28" s="22" t="inlineStr">
        <is>
          <t>補 deployment architecture 與 runbook</t>
        </is>
      </c>
      <c r="R28" s="22" t="inlineStr">
        <is>
          <t>DevOps</t>
        </is>
      </c>
      <c r="S28" s="22" t="inlineStr">
        <is>
          <t>P1</t>
        </is>
      </c>
      <c r="T28" s="22" t="inlineStr">
        <is>
          <t>Customer Deliverable</t>
        </is>
      </c>
    </row>
    <row r="29" ht="70" customHeight="1">
      <c r="A29" s="22" t="inlineStr">
        <is>
          <t>CAP-025</t>
        </is>
      </c>
      <c r="B29" s="22" t="inlineStr">
        <is>
          <t>Product Edition Gate</t>
        </is>
      </c>
      <c r="C29" s="22" t="inlineStr">
        <is>
          <t>Product / Commercial</t>
        </is>
      </c>
      <c r="D29" s="22" t="inlineStr">
        <is>
          <t>Demo、Exercise Pro、GovOps、Tactical 的功能、合規、宣稱與安全邊界。</t>
        </is>
      </c>
      <c r="E29" s="22" t="inlineStr">
        <is>
          <t>GP4</t>
        </is>
      </c>
      <c r="F29" s="22" t="inlineStr">
        <is>
          <t>PM、業務、法務</t>
        </is>
      </c>
      <c r="G29" s="22" t="inlineStr">
        <is>
          <t>L0</t>
        </is>
      </c>
      <c r="H29" s="22" t="inlineStr">
        <is>
          <t>L3</t>
        </is>
      </c>
      <c r="I29" s="22" t="inlineStr">
        <is>
          <t>每版功能/限制/最低安全控制/可宣稱用語清楚；授權 gate 可驗證。</t>
        </is>
      </c>
      <c r="J29" s="22" t="inlineStr">
        <is>
          <t>全部</t>
        </is>
      </c>
      <c r="K29" s="22" t="inlineStr">
        <is>
          <t>License signature；claim guide；acceptance matrix。</t>
        </is>
      </c>
      <c r="L29" s="22" t="inlineStr">
        <is>
          <t>Procurement / Sales governance</t>
        </is>
      </c>
      <c r="M29" s="22" t="inlineStr">
        <is>
          <t>Low</t>
        </is>
      </c>
      <c r="N29" s="22" t="inlineStr">
        <is>
          <t>edition matrix、license tests、claim guide</t>
        </is>
      </c>
      <c r="O29" s="22" t="inlineStr">
        <is>
          <t>支援分層產品交付</t>
        </is>
      </c>
      <c r="P29" s="22" t="inlineStr">
        <is>
          <t>Not Started</t>
        </is>
      </c>
      <c r="Q29" s="22" t="inlineStr">
        <is>
          <t>建立 edition_feature_matrix 與 license gate</t>
        </is>
      </c>
      <c r="R29" s="22" t="inlineStr">
        <is>
          <t>PM / Legal / Product</t>
        </is>
      </c>
      <c r="S29" s="22" t="inlineStr">
        <is>
          <t>P0</t>
        </is>
      </c>
      <c r="T29" s="22" t="inlineStr">
        <is>
          <t>Customer Deliverable</t>
        </is>
      </c>
    </row>
    <row r="30" ht="70" customHeight="1">
      <c r="A30" s="22" t="inlineStr">
        <is>
          <t>CAP-026</t>
        </is>
      </c>
      <c r="B30" s="22" t="inlineStr">
        <is>
          <t>Claim Language Guardrail</t>
        </is>
      </c>
      <c r="C30" s="22" t="inlineStr">
        <is>
          <t>Product / Compliance</t>
        </is>
      </c>
      <c r="D30" s="22" t="inlineStr">
        <is>
          <t>定義可以說、謹慎說、不可說的合規與功能宣稱。</t>
        </is>
      </c>
      <c r="E30" s="22" t="inlineStr">
        <is>
          <t>GP4</t>
        </is>
      </c>
      <c r="F30" s="22" t="inlineStr">
        <is>
          <t>業務、法務、PM</t>
        </is>
      </c>
      <c r="G30" s="22" t="inlineStr">
        <is>
          <t>L1</t>
        </is>
      </c>
      <c r="H30" s="22" t="inlineStr">
        <is>
          <t>L3</t>
        </is>
      </c>
      <c r="I30" s="22" t="inlineStr">
        <is>
          <t>所有 sales copy 與標案文字遵守 claim guide；避免 NIST/FEMA 過度宣稱。</t>
        </is>
      </c>
      <c r="J30" s="22" t="inlineStr">
        <is>
          <t>全部</t>
        </is>
      </c>
      <c r="K30" s="22" t="inlineStr">
        <is>
          <t>需結合實際 evidence 與 profile。</t>
        </is>
      </c>
      <c r="L30" s="22" t="inlineStr">
        <is>
          <t>Procurement / Legal</t>
        </is>
      </c>
      <c r="M30" s="22" t="inlineStr">
        <is>
          <t>Low</t>
        </is>
      </c>
      <c r="N30" s="22" t="inlineStr">
        <is>
          <t>claim guide、審查紀錄</t>
        </is>
      </c>
      <c r="O30" s="22" t="inlineStr">
        <is>
          <t>參考/對齊，而非 certified</t>
        </is>
      </c>
      <c r="P30" s="22" t="inlineStr">
        <is>
          <t>Partial</t>
        </is>
      </c>
      <c r="Q30" s="22" t="inlineStr">
        <is>
          <t>將 claim guide 納入 release/標案審查</t>
        </is>
      </c>
      <c r="R30" s="22" t="inlineStr">
        <is>
          <t>Legal / PM</t>
        </is>
      </c>
      <c r="S30" s="22" t="inlineStr">
        <is>
          <t>P0</t>
        </is>
      </c>
      <c r="T30" s="22" t="inlineStr">
        <is>
          <t>Internal Only</t>
        </is>
      </c>
    </row>
    <row r="31" ht="70" customHeight="1">
      <c r="A31" s="22" t="inlineStr">
        <is>
          <t>CAP-027</t>
        </is>
      </c>
      <c r="B31" s="22" t="inlineStr">
        <is>
          <t>Data Classification / Retention</t>
        </is>
      </c>
      <c r="C31" s="22" t="inlineStr">
        <is>
          <t>Data Governance</t>
        </is>
      </c>
      <c r="D31" s="22" t="inlineStr">
        <is>
          <t>資料分類、保存期限、匯出限制、清除、去識別化與訓練用途。</t>
        </is>
      </c>
      <c r="E31" s="22" t="inlineStr">
        <is>
          <t>GP3, GP4, GP5</t>
        </is>
      </c>
      <c r="F31" s="22" t="inlineStr">
        <is>
          <t>PM、法務、資安、客戶</t>
        </is>
      </c>
      <c r="G31" s="22" t="inlineStr">
        <is>
          <t>L0</t>
        </is>
      </c>
      <c r="H31" s="22" t="inlineStr">
        <is>
          <t>L3</t>
        </is>
      </c>
      <c r="I31" s="22" t="inlineStr">
        <is>
          <t>每類資料有敏感度、保存期、匯出、加密、AAR/AI 使用規則。</t>
        </is>
      </c>
      <c r="J31" s="22" t="inlineStr">
        <is>
          <t>GovOps / Tactical</t>
        </is>
      </c>
      <c r="K31" s="22" t="inlineStr">
        <is>
          <t>PII policy；training data consent；retention。</t>
        </is>
      </c>
      <c r="L31" s="22" t="inlineStr">
        <is>
          <t>個資法 / NIST PT / Privacy</t>
        </is>
      </c>
      <c r="M31" s="22" t="inlineStr">
        <is>
          <t>High</t>
        </is>
      </c>
      <c r="N31" s="22" t="inlineStr">
        <is>
          <t>資料分類表、保存政策、清除紀錄</t>
        </is>
      </c>
      <c r="O31" s="22" t="inlineStr">
        <is>
          <t>支援資料治理與保存策略</t>
        </is>
      </c>
      <c r="P31" s="22" t="inlineStr">
        <is>
          <t>Not Started</t>
        </is>
      </c>
      <c r="Q31" s="22" t="inlineStr">
        <is>
          <t>建立 data classification &amp; retention matrix</t>
        </is>
      </c>
      <c r="R31" s="22" t="inlineStr">
        <is>
          <t>Data / Legal / Security</t>
        </is>
      </c>
      <c r="S31" s="22" t="inlineStr">
        <is>
          <t>P1</t>
        </is>
      </c>
      <c r="T31" s="22" t="inlineStr">
        <is>
          <t>Customer Deliverable</t>
        </is>
      </c>
    </row>
    <row r="32" ht="70" customHeight="1">
      <c r="A32" s="22" t="inlineStr">
        <is>
          <t>CAP-028</t>
        </is>
      </c>
      <c r="B32" s="22" t="inlineStr">
        <is>
          <t>AI Summary / Classification</t>
        </is>
      </c>
      <c r="C32" s="22" t="inlineStr">
        <is>
          <t>AI</t>
        </is>
      </c>
      <c r="D32" s="22" t="inlineStr">
        <is>
          <t>AI 將文字/語音紀錄整理、分類與摘要，供人工確認。</t>
        </is>
      </c>
      <c r="E32" s="22" t="inlineStr">
        <is>
          <t>GP1, GP2</t>
        </is>
      </c>
      <c r="F32" s="22" t="inlineStr">
        <is>
          <t>幕僚、AAR 分析者</t>
        </is>
      </c>
      <c r="G32" s="22" t="inlineStr">
        <is>
          <t>L0</t>
        </is>
      </c>
      <c r="H32" s="22" t="inlineStr">
        <is>
          <t>L2</t>
        </is>
      </c>
      <c r="I32" s="22" t="inlineStr">
        <is>
          <t>AI 只產生草稿；必須標示來源與信心；人工批准後才入報告。</t>
        </is>
      </c>
      <c r="J32" s="22" t="inlineStr">
        <is>
          <t>Flagship / GovOps optional</t>
        </is>
      </c>
      <c r="K32" s="22" t="inlineStr">
        <is>
          <t>AI governance；PII redaction；human-in-the-loop。</t>
        </is>
      </c>
      <c r="L32" s="22" t="inlineStr">
        <is>
          <t>AI governance / Privacy</t>
        </is>
      </c>
      <c r="M32" s="22" t="inlineStr">
        <is>
          <t>Medium–High</t>
        </is>
      </c>
      <c r="N32" s="22" t="inlineStr">
        <is>
          <t>AI output log、source attribution、approval record</t>
        </is>
      </c>
      <c r="O32" s="22" t="inlineStr">
        <is>
          <t>AI 輔助整理，不取代指揮決策</t>
        </is>
      </c>
      <c r="P32" s="22" t="inlineStr">
        <is>
          <t>Not Started</t>
        </is>
      </c>
      <c r="Q32" s="22" t="inlineStr">
        <is>
          <t>先做 AI capability ladder，從 AAR 草稿開始</t>
        </is>
      </c>
      <c r="R32" s="22" t="inlineStr">
        <is>
          <t>AI / Product</t>
        </is>
      </c>
      <c r="S32" s="22" t="inlineStr">
        <is>
          <t>P3</t>
        </is>
      </c>
      <c r="T32" s="22" t="inlineStr">
        <is>
          <t>Customer Summary</t>
        </is>
      </c>
    </row>
    <row r="33" ht="70" customHeight="1">
      <c r="A33" s="22" t="inlineStr">
        <is>
          <t>CAP-029</t>
        </is>
      </c>
      <c r="B33" s="22" t="inlineStr">
        <is>
          <t>AI AAR Draft</t>
        </is>
      </c>
      <c r="C33" s="22" t="inlineStr">
        <is>
          <t>AI / AAR</t>
        </is>
      </c>
      <c r="D33" s="22" t="inlineStr">
        <is>
          <t>根據 timeline、事件、決策、回報產生 AAR 草稿。</t>
        </is>
      </c>
      <c r="E33" s="22" t="inlineStr">
        <is>
          <t>GP1</t>
        </is>
      </c>
      <c r="F33" s="22" t="inlineStr">
        <is>
          <t>AAR 分析者、演訓顧問</t>
        </is>
      </c>
      <c r="G33" s="22" t="inlineStr">
        <is>
          <t>L0</t>
        </is>
      </c>
      <c r="H33" s="22" t="inlineStr">
        <is>
          <t>L2</t>
        </is>
      </c>
      <c r="I33" s="22" t="inlineStr">
        <is>
          <t>草稿可追溯來源；人工審核；不得自動輸出正式結論。</t>
        </is>
      </c>
      <c r="J33" s="22" t="inlineStr">
        <is>
          <t>Flagship / Exercise Pro optional</t>
        </is>
      </c>
      <c r="K33" s="22" t="inlineStr">
        <is>
          <t>AI governance；AAR reproducibility。</t>
        </is>
      </c>
      <c r="L33" s="22" t="inlineStr">
        <is>
          <t>HSEEP AAR-IP / AI governance</t>
        </is>
      </c>
      <c r="M33" s="22" t="inlineStr">
        <is>
          <t>Medium</t>
        </is>
      </c>
      <c r="N33" s="22" t="inlineStr">
        <is>
          <t>草稿樣本、來源引用、審核紀錄</t>
        </is>
      </c>
      <c r="O33" s="22" t="inlineStr">
        <is>
          <t>AI 輔助 AAR 草稿生成</t>
        </is>
      </c>
      <c r="P33" s="22" t="inlineStr">
        <is>
          <t>Not Started</t>
        </is>
      </c>
      <c r="Q33" s="22" t="inlineStr">
        <is>
          <t>建立 AAR source map 後再導入 AI</t>
        </is>
      </c>
      <c r="R33" s="22" t="inlineStr">
        <is>
          <t>AI / AAR</t>
        </is>
      </c>
      <c r="S33" s="22" t="inlineStr">
        <is>
          <t>P3</t>
        </is>
      </c>
      <c r="T33" s="22" t="inlineStr">
        <is>
          <t>Customer Summary</t>
        </is>
      </c>
    </row>
    <row r="34" ht="70" customHeight="1">
      <c r="A34" s="22" t="inlineStr">
        <is>
          <t>CAP-030</t>
        </is>
      </c>
      <c r="B34" s="22" t="inlineStr">
        <is>
          <t>Silent Scribe</t>
        </is>
      </c>
      <c r="C34" s="22" t="inlineStr">
        <is>
          <t>Tactical / AI</t>
        </is>
      </c>
      <c r="D34" s="22" t="inlineStr">
        <is>
          <t>戰術版語音/現場紀錄工具，以 ICS_DMAS 為後端，但屬獨立產品線。</t>
        </is>
      </c>
      <c r="E34" s="22" t="inlineStr">
        <is>
          <t>GP2, GP5</t>
        </is>
      </c>
      <c r="F34" s="22" t="inlineStr">
        <is>
          <t>前線人員、民防/準軍事組織</t>
        </is>
      </c>
      <c r="G34" s="22" t="inlineStr">
        <is>
          <t>L0</t>
        </is>
      </c>
      <c r="H34" s="22" t="inlineStr">
        <is>
          <t>L2</t>
        </is>
      </c>
      <c r="I34" s="22" t="inlineStr">
        <is>
          <t>語音轉事件草稿；不可直接下決策；資料可加密與安全清除。</t>
        </is>
      </c>
      <c r="J34" s="22" t="inlineStr">
        <is>
          <t>Tactical</t>
        </is>
      </c>
      <c r="K34" s="22" t="inlineStr">
        <is>
          <t>mTLS/WireGuard；Panic Wipe；PII/tactical data governance。</t>
        </is>
      </c>
      <c r="L34" s="22" t="inlineStr">
        <is>
          <t>High-sensitivity field operations</t>
        </is>
      </c>
      <c r="M34" s="22" t="inlineStr">
        <is>
          <t>Critical：戰術/位置/語音</t>
        </is>
      </c>
      <c r="N34" s="22" t="inlineStr">
        <is>
          <t>安全設計、裝置測試、資料銷毀紀錄</t>
        </is>
      </c>
      <c r="O34" s="22" t="inlineStr">
        <is>
          <t>高敏感版本需獨立驗收</t>
        </is>
      </c>
      <c r="P34" s="22" t="inlineStr">
        <is>
          <t>Not Started</t>
        </is>
      </c>
      <c r="Q34" s="22" t="inlineStr">
        <is>
          <t>保持與 GovOps 分線，不併入基礎產品</t>
        </is>
      </c>
      <c r="R34" s="22" t="inlineStr">
        <is>
          <t>Tactical / AI / Security</t>
        </is>
      </c>
      <c r="S34" s="22" t="inlineStr">
        <is>
          <t>P4</t>
        </is>
      </c>
      <c r="T34" s="22" t="inlineStr">
        <is>
          <t>Partner Restricted</t>
        </is>
      </c>
    </row>
    <row r="35" ht="70" customHeight="1">
      <c r="A35" s="22" t="inlineStr">
        <is>
          <t>CAP-031</t>
        </is>
      </c>
      <c r="B35" s="22" t="inlineStr">
        <is>
          <t>Incident Response Playbook</t>
        </is>
      </c>
      <c r="C35" s="22" t="inlineStr">
        <is>
          <t>Ops / Security</t>
        </is>
      </c>
      <c r="D35" s="22" t="inlineStr">
        <is>
          <t>資安事件、資料污染、Pi 被奪、個資外洩、同步異常的處置流程。</t>
        </is>
      </c>
      <c r="E35" s="22" t="inlineStr">
        <is>
          <t>GP5</t>
        </is>
      </c>
      <c r="F35" s="22" t="inlineStr">
        <is>
          <t>資安、DevOps、客戶 IT</t>
        </is>
      </c>
      <c r="G35" s="22" t="inlineStr">
        <is>
          <t>L0</t>
        </is>
      </c>
      <c r="H35" s="22" t="inlineStr">
        <is>
          <t>L3</t>
        </is>
      </c>
      <c r="I35" s="22" t="inlineStr">
        <is>
          <t>有分類、通報、隔離、復原、證據保存與桌上演練紀錄。</t>
        </is>
      </c>
      <c r="J35" s="22" t="inlineStr">
        <is>
          <t>GovOps / Tactical</t>
        </is>
      </c>
      <c r="K35" s="22" t="inlineStr">
        <is>
          <t>C1/C3；IR/DR；audit evidence。</t>
        </is>
      </c>
      <c r="L35" s="22" t="inlineStr">
        <is>
          <t>NIST 800-61 / CSF Respond</t>
        </is>
      </c>
      <c r="M35" s="22" t="inlineStr">
        <is>
          <t>High</t>
        </is>
      </c>
      <c r="N35" s="22" t="inlineStr">
        <is>
          <t>IR playbook、演練紀錄、post-incident template</t>
        </is>
      </c>
      <c r="O35" s="22" t="inlineStr">
        <is>
          <t>支援事件應變流程</t>
        </is>
      </c>
      <c r="P35" s="22" t="inlineStr">
        <is>
          <t>Not Started</t>
        </is>
      </c>
      <c r="Q35" s="22" t="inlineStr">
        <is>
          <t>先針對資料污染與 Pi compromise 建立 playbook</t>
        </is>
      </c>
      <c r="R35" s="22" t="inlineStr">
        <is>
          <t>Security / Ops</t>
        </is>
      </c>
      <c r="S35" s="22" t="inlineStr">
        <is>
          <t>P2</t>
        </is>
      </c>
      <c r="T35" s="22" t="inlineStr">
        <is>
          <t>Customer Deliverable</t>
        </is>
      </c>
    </row>
    <row r="36" ht="70" customHeight="1">
      <c r="A36" s="22" t="inlineStr">
        <is>
          <t>CAP-032</t>
        </is>
      </c>
      <c r="B36" s="22" t="inlineStr">
        <is>
          <t>Accessibility / WCAG</t>
        </is>
      </c>
      <c r="C36" s="22" t="inlineStr">
        <is>
          <t>Quality / Accessibility</t>
        </is>
      </c>
      <c r="D36" s="22" t="inlineStr">
        <is>
          <t>三端 PWA 與儀表板達到基本無障礙與現場可用性。</t>
        </is>
      </c>
      <c r="E36" s="22" t="inlineStr">
        <is>
          <t>GP4</t>
        </is>
      </c>
      <c r="F36" s="22" t="inlineStr">
        <is>
          <t>QA、PM、客戶驗收</t>
        </is>
      </c>
      <c r="G36" s="22" t="inlineStr">
        <is>
          <t>L0</t>
        </is>
      </c>
      <c r="H36" s="22" t="inlineStr">
        <is>
          <t>L3</t>
        </is>
      </c>
      <c r="I36" s="22" t="inlineStr">
        <is>
          <t>WCAG AA 測試；關鍵操作可鍵盤/讀屏；字體與對比符合。</t>
        </is>
      </c>
      <c r="J36" s="22" t="inlineStr">
        <is>
          <t>GovOps / C6</t>
        </is>
      </c>
      <c r="K36" s="22" t="inlineStr">
        <is>
          <t>C6；accessibility test plan。</t>
        </is>
      </c>
      <c r="L36" s="22" t="inlineStr">
        <is>
          <t>WCAG 2.0 AA / Procurement</t>
        </is>
      </c>
      <c r="M36" s="22" t="inlineStr">
        <is>
          <t>Low</t>
        </is>
      </c>
      <c r="N36" s="22" t="inlineStr">
        <is>
          <t>WCAG report、Lighthouse、manual tests</t>
        </is>
      </c>
      <c r="O36" s="22" t="inlineStr">
        <is>
          <t>支援無障礙驗收（完成後）</t>
        </is>
      </c>
      <c r="P36" s="22" t="inlineStr">
        <is>
          <t>Not Started</t>
        </is>
      </c>
      <c r="Q36" s="22" t="inlineStr">
        <is>
          <t>建立 accessibility test plan</t>
        </is>
      </c>
      <c r="R36" s="22" t="inlineStr">
        <is>
          <t>QA / Frontend</t>
        </is>
      </c>
      <c r="S36" s="22" t="inlineStr">
        <is>
          <t>P3</t>
        </is>
      </c>
      <c r="T36" s="22" t="inlineStr">
        <is>
          <t>Customer Deliverable</t>
        </is>
      </c>
    </row>
    <row r="37" ht="70" customHeight="1">
      <c r="A37" s="22" t="inlineStr">
        <is>
          <t>CAP-033</t>
        </is>
      </c>
      <c r="B37" s="22" t="inlineStr">
        <is>
          <t>Field Usability</t>
        </is>
      </c>
      <c r="C37" s="22" t="inlineStr">
        <is>
          <t>UX / Field</t>
        </is>
      </c>
      <c r="D37" s="22" t="inlineStr">
        <is>
          <t>災害現場壓力、低光、平板、戴手套、志工操作下的可用性。</t>
        </is>
      </c>
      <c r="E37" s="22" t="inlineStr">
        <is>
          <t>GP2, GP3</t>
        </is>
      </c>
      <c r="F37" s="22" t="inlineStr">
        <is>
          <t>PM、UX、演訓顧問、現場操作員</t>
        </is>
      </c>
      <c r="G37" s="22" t="inlineStr">
        <is>
          <t>L0</t>
        </is>
      </c>
      <c r="H37" s="22" t="inlineStr">
        <is>
          <t>L2</t>
        </is>
      </c>
      <c r="I37" s="22" t="inlineStr">
        <is>
          <t>關鍵填報流程少步驟；離線/同步狀態清楚；錯誤可回復。</t>
        </is>
      </c>
      <c r="J37" s="22" t="inlineStr">
        <is>
          <t>Exercise Pro / Tactical</t>
        </is>
      </c>
      <c r="K37" s="22" t="inlineStr">
        <is>
          <t>不直接是資安，但影響資料品質與採用率。</t>
        </is>
      </c>
      <c r="L37" s="22" t="inlineStr">
        <is>
          <t>Operational usability</t>
        </is>
      </c>
      <c r="M37" s="22" t="inlineStr">
        <is>
          <t>Medium：可能造成錯誤資料</t>
        </is>
      </c>
      <c r="N37" s="22" t="inlineStr">
        <is>
          <t>field test checklist、觀察紀錄、UX issue list</t>
        </is>
      </c>
      <c r="O37" s="22" t="inlineStr">
        <is>
          <t>支援現場操作友善性</t>
        </is>
      </c>
      <c r="P37" s="22" t="inlineStr">
        <is>
          <t>Not Started</t>
        </is>
      </c>
      <c r="Q37" s="22" t="inlineStr">
        <is>
          <t>安排 tabletop + field usability test</t>
        </is>
      </c>
      <c r="R37" s="22" t="inlineStr">
        <is>
          <t>UX / Product</t>
        </is>
      </c>
      <c r="S37" s="22" t="inlineStr">
        <is>
          <t>P2</t>
        </is>
      </c>
      <c r="T37" s="22" t="inlineStr">
        <is>
          <t>Customer Summary</t>
        </is>
      </c>
    </row>
    <row r="38" ht="70" customHeight="1">
      <c r="A38" s="22" t="inlineStr">
        <is>
          <t>CAP-034</t>
        </is>
      </c>
      <c r="B38" s="22" t="inlineStr">
        <is>
          <t>Release Evidence Pack</t>
        </is>
      </c>
      <c r="C38" s="22" t="inlineStr">
        <is>
          <t>Release / Procurement</t>
        </is>
      </c>
      <c r="D38" s="22" t="inlineStr">
        <is>
          <t>每版 release 的測試、SBOM、弱掃、備份驗證、合規對照與已知限制。</t>
        </is>
      </c>
      <c r="E38" s="22" t="inlineStr">
        <is>
          <t>GP4</t>
        </is>
      </c>
      <c r="F38" s="22" t="inlineStr">
        <is>
          <t>PM、DevOps、標案、客戶資安</t>
        </is>
      </c>
      <c r="G38" s="22" t="inlineStr">
        <is>
          <t>L0</t>
        </is>
      </c>
      <c r="H38" s="22" t="inlineStr">
        <is>
          <t>L3</t>
        </is>
      </c>
      <c r="I38" s="22" t="inlineStr">
        <is>
          <t>每版有 coverage、SAST/SCA、SBOM、known issues、backup verify、acceptance matrix。</t>
        </is>
      </c>
      <c r="J38" s="22" t="inlineStr">
        <is>
          <t>GovOps / C6</t>
        </is>
      </c>
      <c r="K38" s="22" t="inlineStr">
        <is>
          <t>C2/C6；no high/critical for release gate。</t>
        </is>
      </c>
      <c r="L38" s="22" t="inlineStr">
        <is>
          <t>NIST SSDF / Supply Chain</t>
        </is>
      </c>
      <c r="M38" s="22" t="inlineStr">
        <is>
          <t>Low–High：視附錄</t>
        </is>
      </c>
      <c r="N38" s="22" t="inlineStr">
        <is>
          <t>release evidence pack、SBOM、scan report</t>
        </is>
      </c>
      <c r="O38" s="22" t="inlineStr">
        <is>
          <t>可提供交付證據包</t>
        </is>
      </c>
      <c r="P38" s="22" t="inlineStr">
        <is>
          <t>Not Started</t>
        </is>
      </c>
      <c r="Q38" s="22" t="inlineStr">
        <is>
          <t>建立 evidence_pack_template 與 CI artifacts</t>
        </is>
      </c>
      <c r="R38" s="22" t="inlineStr">
        <is>
          <t>Release / DevOps</t>
        </is>
      </c>
      <c r="S38" s="22" t="inlineStr">
        <is>
          <t>P1</t>
        </is>
      </c>
      <c r="T38" s="22" t="inlineStr">
        <is>
          <t>Customer Deliverable</t>
        </is>
      </c>
    </row>
    <row r="39">
      <c r="A39" t="inlineStr">
        <is>
          <t>CAP-035</t>
        </is>
      </c>
      <c r="B39" t="inlineStr">
        <is>
          <t>Commander Frontend Security</t>
        </is>
      </c>
      <c r="C39" t="inlineStr">
        <is>
          <t>Security / Auth</t>
        </is>
      </c>
      <c r="D39" t="inlineStr">
        <is>
          <t>commander_dashboard.html 模組化：移除 inline JS，CSP enforce，為 RBAC UI 提供安全基礎。</t>
        </is>
      </c>
      <c r="E39" t="inlineStr">
        <is>
          <t>GP2</t>
        </is>
      </c>
      <c r="F39" t="inlineStr">
        <is>
          <t>Frontend / Security</t>
        </is>
      </c>
      <c r="G39" t="inlineStr">
        <is>
          <t>L0</t>
        </is>
      </c>
      <c r="H39" t="inlineStr">
        <is>
          <t>L2</t>
        </is>
      </c>
      <c r="I39" t="inlineStr">
        <is>
          <t>移除所有 inline script/handler；CSP enforce 不含 unsafe-inline；vitest + pytest green。</t>
        </is>
      </c>
      <c r="J39" t="inlineStr">
        <is>
          <t>Exercise Pro</t>
        </is>
      </c>
      <c r="K39" t="inlineStr">
        <is>
          <t>C1-F; 阻擋 RBAC P0 (CAP-014)</t>
        </is>
      </c>
      <c r="L39" t="inlineStr">
        <is>
          <t>NIST SC-18, AC-3, V14.4(3)</t>
        </is>
      </c>
      <c r="M39" t="inlineStr">
        <is>
          <t>Medium</t>
        </is>
      </c>
      <c r="N39" t="inlineStr">
        <is>
          <t>PR# (TBD); AC-1~AC-14 all green</t>
        </is>
      </c>
      <c r="O39" t="inlineStr">
        <is>
          <t>支援 commander 路徑 XSS 防護</t>
        </is>
      </c>
      <c r="P39" t="inlineStr">
        <is>
          <t>Planned</t>
        </is>
      </c>
      <c r="Q39" t="inlineStr">
        <is>
          <t>C1-F close after frontend+CSP task</t>
        </is>
      </c>
      <c r="R39" t="inlineStr">
        <is>
          <t>Frontend / Security</t>
        </is>
      </c>
      <c r="S39" t="inlineStr">
        <is>
          <t>P0</t>
        </is>
      </c>
      <c r="T39" t="inlineStr">
        <is>
          <t>Internal Only</t>
        </is>
      </c>
    </row>
  </sheetData>
  <mergeCells count="2">
    <mergeCell ref="A1:T1"/>
    <mergeCell ref="A2:T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"/>
  <sheetViews>
    <sheetView zoomScale="170" zoomScaleNormal="170" workbookViewId="0">
      <selection activeCell="A1" sqref="A1:D1"/>
    </sheetView>
  </sheetViews>
  <sheetFormatPr baseColWidth="10" defaultColWidth="8.83203125" defaultRowHeight="14"/>
  <cols>
    <col width="12" customWidth="1" min="1" max="1"/>
    <col width="34" customWidth="1" min="2" max="2"/>
    <col width="78" customWidth="1" min="3" max="3"/>
    <col width="28" customWidth="1" min="4" max="4"/>
  </cols>
  <sheetData>
    <row r="1" ht="28" customHeight="1">
      <c r="A1" s="14" t="inlineStr">
        <is>
          <t>Golden Paths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4" customHeight="1">
      <c r="A2" s="16" t="inlineStr">
        <is>
          <t>端到端產品主線，用來確認 capability 是否真的串成可演示、可演訓、可驗收的工作流。</t>
        </is>
      </c>
    </row>
    <row r="3"/>
    <row r="4" ht="34" customHeight="1">
      <c r="A4" s="1" t="inlineStr">
        <is>
          <t>GP ID</t>
        </is>
      </c>
      <c r="B4" s="1" t="inlineStr">
        <is>
          <t>Golden Path</t>
        </is>
      </c>
      <c r="C4" s="1" t="inlineStr">
        <is>
          <t>Description</t>
        </is>
      </c>
      <c r="D4" s="1" t="inlineStr">
        <is>
          <t>Primary Use</t>
        </is>
      </c>
    </row>
    <row r="5" ht="52" customHeight="1">
      <c r="A5" s="3" t="inlineStr">
        <is>
          <t>GP1</t>
        </is>
      </c>
      <c r="B5" s="3" t="inlineStr">
        <is>
          <t>TTX → 決策 → AAR</t>
        </is>
      </c>
      <c r="C5" s="3" t="inlineStr">
        <is>
          <t>演訓建立、狀況注入、受訓單位回應、指揮決策、事件時間線、AAR 與改善事項。</t>
        </is>
      </c>
      <c r="D5" s="3" t="inlineStr">
        <is>
          <t>v3.0.0 GovOps+TTX (NOT Exercise Pro — GP1 requires MSEL inject + AAR engine)</t>
        </is>
      </c>
    </row>
    <row r="6" ht="52" customHeight="1">
      <c r="A6" s="3" t="inlineStr">
        <is>
          <t>GP2</t>
        </is>
      </c>
      <c r="B6" s="3" t="inlineStr">
        <is>
          <t>現場回報 → COP → 任務/決策 → 回報</t>
        </is>
      </c>
      <c r="C6" s="3" t="inlineStr">
        <is>
          <t>收容、醫療、前進組或 Field Node 回報進入 COP，指揮部決策並追蹤任務回報。</t>
        </is>
      </c>
      <c r="D6" s="3" t="inlineStr">
        <is>
          <t>Exercise Pro / GovOps</t>
        </is>
      </c>
    </row>
    <row r="7" ht="52" customHeight="1">
      <c r="A7" s="3" t="inlineStr">
        <is>
          <t>GP3</t>
        </is>
      </c>
      <c r="B7" s="3" t="inlineStr">
        <is>
          <t>斷網 → 離線資料 → 恢復同步 → AAR 可追溯</t>
        </is>
      </c>
      <c r="C7" s="3" t="inlineStr">
        <is>
          <t>PWA / Pi / QR 在斷網下暫存與恢復同步，衝突處理後保留來源、時間差與採納狀態。</t>
        </is>
      </c>
      <c r="D7" s="3" t="inlineStr">
        <is>
          <t>Exercise Pro / GovOps / Tactical</t>
        </is>
      </c>
    </row>
    <row r="8" ht="52" customHeight="1">
      <c r="A8" s="3" t="inlineStr">
        <is>
          <t>GP4</t>
        </is>
      </c>
      <c r="B8" s="3" t="inlineStr">
        <is>
          <t>部署 → 驗收 → 證據包</t>
        </is>
      </c>
      <c r="C8" s="3" t="inlineStr">
        <is>
          <t>客戶部署、健康檢查、備份還原、測試報告、SBOM、弱掃與驗收文件交付。</t>
        </is>
      </c>
      <c r="D8" s="3" t="inlineStr">
        <is>
          <t>GovOps / C6</t>
        </is>
      </c>
    </row>
    <row r="9" ht="52" customHeight="1">
      <c r="A9" s="3" t="inlineStr">
        <is>
          <t>GP5</t>
        </is>
      </c>
      <c r="B9" s="3" t="inlineStr">
        <is>
          <t>真實災害輔助 → IR/DR → 稽核保存</t>
        </is>
      </c>
      <c r="C9" s="3" t="inlineStr">
        <is>
          <t>支援高敏感資料、事件應變、復原演練、不可竄改紀錄與長期稽核保存。</t>
        </is>
      </c>
      <c r="D9" s="3" t="inlineStr">
        <is>
          <t>GovOps / Tactical / C6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"/>
  <sheetViews>
    <sheetView zoomScale="170" zoomScaleNormal="170" workbookViewId="0">
      <selection activeCell="A1" sqref="A1:D1"/>
    </sheetView>
  </sheetViews>
  <sheetFormatPr baseColWidth="10" defaultColWidth="8.83203125" defaultRowHeight="14"/>
  <cols>
    <col width="10" customWidth="1" min="1" max="1"/>
    <col width="22" customWidth="1" min="2" max="2"/>
    <col width="78" customWidth="1" min="3" max="3"/>
    <col width="50" customWidth="1" min="4" max="4"/>
  </cols>
  <sheetData>
    <row r="1" ht="28" customHeight="1">
      <c r="A1" s="14" t="inlineStr">
        <is>
          <t>Maturity Definitions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4" customHeight="1">
      <c r="A2" s="16" t="inlineStr">
        <is>
          <t>用 L0–L4 區分『有功能』與『可交付、可稽核、可支援高敏感場景』。</t>
        </is>
      </c>
    </row>
    <row r="4" ht="34" customHeight="1">
      <c r="A4" s="1" t="inlineStr">
        <is>
          <t>Level</t>
        </is>
      </c>
      <c r="B4" s="1" t="inlineStr">
        <is>
          <t>Name</t>
        </is>
      </c>
      <c r="C4" s="1" t="inlineStr">
        <is>
          <t>Definition</t>
        </is>
      </c>
      <c r="D4" s="1" t="inlineStr">
        <is>
          <t>Claim Boundary</t>
        </is>
      </c>
    </row>
    <row r="5" ht="52" customHeight="1">
      <c r="A5" s="3" t="inlineStr">
        <is>
          <t>L0</t>
        </is>
      </c>
      <c r="B5" s="3" t="inlineStr">
        <is>
          <t>Not Implemented</t>
        </is>
      </c>
      <c r="C5" s="3" t="inlineStr">
        <is>
          <t>尚未實作，僅存在於 roadmap / backlog。</t>
        </is>
      </c>
      <c r="D5" s="3" t="inlineStr">
        <is>
          <t>不可對外宣稱。</t>
        </is>
      </c>
    </row>
    <row r="6" ht="52" customHeight="1">
      <c r="A6" s="3" t="inlineStr">
        <is>
          <t>L1</t>
        </is>
      </c>
      <c r="B6" s="3" t="inlineStr">
        <is>
          <t>Demo</t>
        </is>
      </c>
      <c r="C6" s="3" t="inlineStr">
        <is>
          <t>可演示或 PoC，但不能依賴於正式演訓或真實場景。</t>
        </is>
      </c>
      <c r="D6" s="3" t="inlineStr">
        <is>
          <t>可在受控 demo 使用，須標示限制。</t>
        </is>
      </c>
    </row>
    <row r="7" ht="52" customHeight="1">
      <c r="A7" s="3" t="inlineStr">
        <is>
          <t>L2</t>
        </is>
      </c>
      <c r="B7" s="3" t="inlineStr">
        <is>
          <t>Operational</t>
        </is>
      </c>
      <c r="C7" s="3" t="inlineStr">
        <is>
          <t>可在受控正式演訓中穩定使用，有基本錯誤處理與操作流程。</t>
        </is>
      </c>
      <c r="D7" s="3" t="inlineStr">
        <is>
          <t>可作為 Exercise Pro 驗收項。</t>
        </is>
      </c>
    </row>
    <row r="8" ht="52" customHeight="1">
      <c r="A8" s="3" t="inlineStr">
        <is>
          <t>L3</t>
        </is>
      </c>
      <c r="B8" s="3" t="inlineStr">
        <is>
          <t>Auditable</t>
        </is>
      </c>
      <c r="C8" s="3" t="inlineStr">
        <is>
          <t>具備權限、稽核、證據、測試與可追溯性，可支援採購驗收。</t>
        </is>
      </c>
      <c r="D8" s="3" t="inlineStr">
        <is>
          <t>可作為 GovOps / 標案驗收項。</t>
        </is>
      </c>
    </row>
    <row r="9" ht="52" customHeight="1">
      <c r="A9" s="3" t="inlineStr">
        <is>
          <t>L4</t>
        </is>
      </c>
      <c r="B9" s="3" t="inlineStr">
        <is>
          <t>Mission-ready</t>
        </is>
      </c>
      <c r="C9" s="3" t="inlineStr">
        <is>
          <t>可支援真實災害輔助或高敏感場景，含 IR/DR、加密、外部稽核與操作訓練。</t>
        </is>
      </c>
      <c r="D9" s="3" t="inlineStr">
        <is>
          <t>僅 Tactical / 高階 GovOps 可主張。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6"/>
  <sheetViews>
    <sheetView zoomScale="190" zoomScaleNormal="190" workbookViewId="0">
      <selection activeCell="A1" sqref="A1:D1"/>
    </sheetView>
  </sheetViews>
  <sheetFormatPr baseColWidth="10" defaultColWidth="8.83203125" defaultRowHeight="14"/>
  <cols>
    <col width="24" customWidth="1" min="1" max="1"/>
    <col width="38" customWidth="1" min="2" max="2"/>
    <col width="78" customWidth="1" min="3" max="3"/>
    <col width="34" customWidth="1" min="4" max="4"/>
  </cols>
  <sheetData>
    <row r="1" ht="28" customHeight="1">
      <c r="A1" s="14" t="inlineStr">
        <is>
          <t>Edition Gates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4" customHeight="1">
      <c r="A2" s="16" t="inlineStr">
        <is>
          <t>把 capability 綁到產品版本、可宣稱用途與最低安全/合規條件。</t>
        </is>
      </c>
    </row>
    <row r="3"/>
    <row r="4" ht="34" customHeight="1">
      <c r="A4" s="1" t="inlineStr">
        <is>
          <t>Edition</t>
        </is>
      </c>
      <c r="B4" s="1" t="inlineStr">
        <is>
          <t>Use Case</t>
        </is>
      </c>
      <c r="C4" s="1" t="inlineStr">
        <is>
          <t>Minimum Conditions</t>
        </is>
      </c>
      <c r="D4" s="1" t="inlineStr">
        <is>
          <t>Disclosure / Deliverable Level</t>
        </is>
      </c>
    </row>
    <row r="5" ht="58" customHeight="1">
      <c r="A5" s="3" t="inlineStr">
        <is>
          <t>Demo / Community</t>
        </is>
      </c>
      <c r="B5" s="3" t="inlineStr">
        <is>
          <t>受控展示、假資料、低敏感資料</t>
        </is>
      </c>
      <c r="C5" s="3" t="inlineStr">
        <is>
          <t>不處理真實個資；安全 baseline 需修掉 current-stage P0。</t>
        </is>
      </c>
      <c r="D5" s="3" t="inlineStr">
        <is>
          <t>Public / Sales Safe</t>
        </is>
      </c>
    </row>
    <row r="6" ht="58" customHeight="1">
      <c r="A6" s="3" t="inlineStr">
        <is>
          <t>Exercise Pro</t>
        </is>
      </c>
      <c r="B6" s="3" t="inlineStr">
        <is>
          <t>現場演練（field drill）、基本資安</t>
        </is>
      </c>
      <c r="C6" s="3" t="inlineStr">
        <is>
          <t>需完成 Trusted Ingest (#11)、基本 RBAC (CAP-014)、CSP enforce (CAP-035)、備份還原 (CAP-023)。
不支援 TTX MSEL inject 或自動 AAR report（見 GovOps+TTX）。</t>
        </is>
      </c>
      <c r="D6" s="3" t="inlineStr">
        <is>
          <t>Customer Deliverable</t>
        </is>
      </c>
    </row>
    <row r="7" ht="58" customHeight="1">
      <c r="A7" s="3" t="inlineStr">
        <is>
          <t>GovOps</t>
        </is>
      </c>
      <c r="B7" s="3" t="inlineStr">
        <is>
          <t>政府採購、個資、audit、DR、正式驗收</t>
        </is>
      </c>
      <c r="C7" s="3" t="inlineStr">
        <is>
          <t>需 C1/C2/C3 證據包、PII 控制、audit evidence、IR/DR、SBOM。</t>
        </is>
      </c>
      <c r="D7" s="3" t="inlineStr">
        <is>
          <t>Customer Deliverable / Procurement</t>
        </is>
      </c>
    </row>
    <row r="8" ht="58" customHeight="1">
      <c r="A8" s="3" t="inlineStr">
        <is>
          <t>Tactical</t>
        </is>
      </c>
      <c r="B8" s="3" t="inlineStr">
        <is>
          <t>Field Node、戰術敏感、高安全部署</t>
        </is>
      </c>
      <c r="C8" s="3" t="inlineStr">
        <is>
          <t>需裝置憑證、mTLS/WireGuard、Panic Wipe、LUKS、戰術資料治理。</t>
        </is>
      </c>
      <c r="D8" s="3" t="inlineStr">
        <is>
          <t>Partner Restricted</t>
        </is>
      </c>
    </row>
    <row r="10">
      <c r="A10" s="25" t="inlineStr">
        <is>
          <t>Priority → Edition Mapping</t>
        </is>
      </c>
    </row>
    <row r="11">
      <c r="A11" s="26" t="inlineStr">
        <is>
          <t>Priority</t>
        </is>
      </c>
      <c r="B11" s="26" t="inlineStr">
        <is>
          <t>Definition</t>
        </is>
      </c>
      <c r="C11" s="26" t="inlineStr">
        <is>
          <t>Blocks Edition</t>
        </is>
      </c>
    </row>
    <row r="12">
      <c r="A12" s="35" t="inlineStr">
        <is>
          <t>P0</t>
        </is>
      </c>
      <c r="B12" s="36" t="inlineStr">
        <is>
          <t>Current stage must-fix; minimum prerequisite for any external claim</t>
        </is>
      </c>
      <c r="C12" s="36" t="inlineStr">
        <is>
          <t>ALL Editions</t>
        </is>
      </c>
    </row>
    <row r="13">
      <c r="A13" s="35" t="inlineStr">
        <is>
          <t>P1</t>
        </is>
      </c>
      <c r="B13" s="36" t="inlineStr">
        <is>
          <t>Must complete before Exercise Pro / GovOps</t>
        </is>
      </c>
      <c r="C13" s="36" t="inlineStr">
        <is>
          <t>Exercise Pro and above</t>
        </is>
      </c>
    </row>
    <row r="14">
      <c r="A14" s="35" t="inlineStr">
        <is>
          <t>P2</t>
        </is>
      </c>
      <c r="B14" s="36" t="inlineStr">
        <is>
          <t>GovOps procurement hardening</t>
        </is>
      </c>
      <c r="C14" s="36" t="inlineStr">
        <is>
          <t>GovOps and above</t>
        </is>
      </c>
    </row>
    <row r="15">
      <c r="A15" s="35" t="inlineStr">
        <is>
          <t>P3</t>
        </is>
      </c>
      <c r="B15" s="36" t="inlineStr">
        <is>
          <t>Moat / full compliance</t>
        </is>
      </c>
      <c r="C15" s="36" t="inlineStr">
        <is>
          <t>Flagship</t>
        </is>
      </c>
    </row>
    <row r="16">
      <c r="A16" s="35" t="inlineStr">
        <is>
          <t>P4</t>
        </is>
      </c>
      <c r="B16" s="36" t="inlineStr">
        <is>
          <t>Tactical high-security scenarios</t>
        </is>
      </c>
      <c r="C16" s="36" t="inlineStr">
        <is>
          <t>Tactical only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4"/>
  <sheetViews>
    <sheetView zoomScale="140" zoomScaleNormal="140" workbookViewId="0">
      <selection activeCell="A1" sqref="A1:D1"/>
    </sheetView>
  </sheetViews>
  <sheetFormatPr baseColWidth="10" defaultColWidth="8.83203125" defaultRowHeight="14"/>
  <cols>
    <col width="30" customWidth="1" min="1" max="1"/>
    <col width="82" customWidth="1" min="2" max="2"/>
    <col width="28" customWidth="1" min="3" max="3"/>
    <col width="26" customWidth="1" min="4" max="4"/>
  </cols>
  <sheetData>
    <row r="1" ht="28" customHeight="1">
      <c r="A1" s="14" t="inlineStr">
        <is>
          <t>Acceptance Evidence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34" customHeight="1">
      <c r="A2" s="16" t="inlineStr">
        <is>
          <t>常見 capability 的驗收證據索引；主表 Evidence Required 欄可連回本頁。</t>
        </is>
      </c>
    </row>
    <row r="4" ht="34" customHeight="1">
      <c r="A4" s="1" t="inlineStr">
        <is>
          <t>Capability</t>
        </is>
      </c>
      <c r="B4" s="1" t="inlineStr">
        <is>
          <t>Evidence Required</t>
        </is>
      </c>
      <c r="C4" s="1" t="inlineStr">
        <is>
          <t>Edition / Gate</t>
        </is>
      </c>
      <c r="D4" s="1" t="inlineStr">
        <is>
          <t>Owner</t>
        </is>
      </c>
    </row>
    <row r="5" ht="52" customHeight="1">
      <c r="A5" s="3" t="inlineStr">
        <is>
          <t>TTX Inject</t>
        </is>
      </c>
      <c r="B5" s="3" t="inlineStr">
        <is>
          <t>Inject 簽章測試、送達/閱讀/回應紀錄、TTX/real session 隔離測試</t>
        </is>
      </c>
      <c r="C5" s="3" t="inlineStr">
        <is>
          <t>Exercise Pro / GovOps</t>
        </is>
      </c>
      <c r="D5" s="3" t="inlineStr">
        <is>
          <t>TTX / Security</t>
        </is>
      </c>
    </row>
    <row r="6" ht="52" customHeight="1">
      <c r="A6" s="3" t="inlineStr">
        <is>
          <t>AAR Timeline</t>
        </is>
      </c>
      <c r="B6" s="3" t="inlineStr">
        <is>
          <t>AAR 匯出、事件來源連結、audit 對照、回放測試</t>
        </is>
      </c>
      <c r="C6" s="3" t="inlineStr">
        <is>
          <t>Exercise Pro / GovOps</t>
        </is>
      </c>
      <c r="D6" s="3" t="inlineStr">
        <is>
          <t>AAR / QA</t>
        </is>
      </c>
    </row>
    <row r="7" ht="52" customHeight="1">
      <c r="A7" s="3" t="inlineStr">
        <is>
          <t>Command COP</t>
        </is>
      </c>
      <c r="B7" s="3" t="inlineStr">
        <is>
          <t>E2E 資料流測試、dashboard 截圖、資料來源時間標示</t>
        </is>
      </c>
      <c r="C7" s="3" t="inlineStr">
        <is>
          <t>Exercise Pro</t>
        </is>
      </c>
      <c r="D7" s="3" t="inlineStr">
        <is>
          <t>Product / Frontend</t>
        </is>
      </c>
    </row>
    <row r="8" ht="52" customHeight="1">
      <c r="A8" s="3" t="inlineStr">
        <is>
          <t>PWA Field Report</t>
        </is>
      </c>
      <c r="B8" s="3" t="inlineStr">
        <is>
          <t>離線填報測試、恢復同步測試、採納/退回流程測試</t>
        </is>
      </c>
      <c r="C8" s="3" t="inlineStr">
        <is>
          <t>Exercise Pro</t>
        </is>
      </c>
      <c r="D8" s="3" t="inlineStr">
        <is>
          <t>PWA / QA</t>
        </is>
      </c>
    </row>
    <row r="9" ht="52" customHeight="1">
      <c r="A9" s="3" t="inlineStr">
        <is>
          <t>Trusted Ingest</t>
        </is>
      </c>
      <c r="B9" s="3" t="inlineStr">
        <is>
          <t>無簽章拒收、重放拒收、body tamper 拒收、key rotation 測試</t>
        </is>
      </c>
      <c r="C9" s="3" t="inlineStr">
        <is>
          <t>Exercise Pro / GovOps</t>
        </is>
      </c>
      <c r="D9" s="3" t="inlineStr">
        <is>
          <t>Security / Backend</t>
        </is>
      </c>
    </row>
    <row r="10" ht="52" customHeight="1">
      <c r="A10" s="3" t="inlineStr">
        <is>
          <t>WebSocket Gate</t>
        </is>
      </c>
      <c r="B10" s="3" t="inlineStr">
        <is>
          <t>未 auth delta/sync_push 拒收、session_restore 不接受 client 自報 role</t>
        </is>
      </c>
      <c r="C10" s="3" t="inlineStr">
        <is>
          <t>Exercise Pro / GovOps</t>
        </is>
      </c>
      <c r="D10" s="3" t="inlineStr">
        <is>
          <t>Node / Security</t>
        </is>
      </c>
    </row>
    <row r="11" ht="52" customHeight="1">
      <c r="A11" s="3" t="inlineStr">
        <is>
          <t>RBAC</t>
        </is>
      </c>
      <c r="B11" s="3" t="inlineStr">
        <is>
          <t>Endpoint role matrix、API regression tests、session revoke 測試</t>
        </is>
      </c>
      <c r="C11" s="3" t="inlineStr">
        <is>
          <t>GovOps</t>
        </is>
      </c>
      <c r="D11" s="3" t="inlineStr">
        <is>
          <t>Backend / Security</t>
        </is>
      </c>
    </row>
    <row r="12" ht="52" customHeight="1">
      <c r="A12" s="3" t="inlineStr">
        <is>
          <t>Audit Evidence</t>
        </is>
      </c>
      <c r="B12" s="3" t="inlineStr">
        <is>
          <t>Hash chain 驗證、append-only trigger、reset 不刪 audit 測試</t>
        </is>
      </c>
      <c r="C12" s="3" t="inlineStr">
        <is>
          <t>GovOps</t>
        </is>
      </c>
      <c r="D12" s="3" t="inlineStr">
        <is>
          <t>Security / Backend</t>
        </is>
      </c>
    </row>
    <row r="13" ht="52" customHeight="1">
      <c r="A13" s="3" t="inlineStr">
        <is>
          <t>Backup / Restore</t>
        </is>
      </c>
      <c r="B13" s="3" t="inlineStr">
        <is>
          <t>Online backup、checksum verify、restore drill report、retention 記錄</t>
        </is>
      </c>
      <c r="C13" s="3" t="inlineStr">
        <is>
          <t>GovOps</t>
        </is>
      </c>
      <c r="D13" s="3" t="inlineStr">
        <is>
          <t>DevOps</t>
        </is>
      </c>
    </row>
    <row r="14" ht="52" customHeight="1">
      <c r="A14" s="3" t="inlineStr">
        <is>
          <t>Release Evidence Pack</t>
        </is>
      </c>
      <c r="B14" s="3" t="inlineStr">
        <is>
          <t>Coverage、SAST/SCA、SBOM、known issues、acceptance matrix</t>
        </is>
      </c>
      <c r="C14" s="3" t="inlineStr">
        <is>
          <t>GovOps / C6</t>
        </is>
      </c>
      <c r="D14" s="3" t="inlineStr">
        <is>
          <t>Release / PM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0" customWidth="1" min="3" max="3"/>
    <col width="28" customWidth="1" min="4" max="4"/>
    <col width="26" customWidth="1" min="5" max="5"/>
    <col width="16" customWidth="1" min="6" max="6"/>
    <col width="8" customWidth="1" min="7" max="7"/>
    <col width="20" customWidth="1" min="8" max="8"/>
  </cols>
  <sheetData>
    <row r="1" ht="22" customHeight="1">
      <c r="A1" s="37" t="inlineStr">
        <is>
          <t>Issue → Capability → GAP Traceability Index</t>
        </is>
      </c>
    </row>
    <row r="2" ht="8" customHeight="1"/>
    <row r="3" ht="18" customHeight="1">
      <c r="A3" s="26" t="inlineStr">
        <is>
          <t>Issue#</t>
        </is>
      </c>
      <c r="B3" s="26" t="inlineStr">
        <is>
          <t>Title</t>
        </is>
      </c>
      <c r="C3" s="26" t="inlineStr">
        <is>
          <t>Seq</t>
        </is>
      </c>
      <c r="D3" s="26" t="inlineStr">
        <is>
          <t>CAP affected</t>
        </is>
      </c>
      <c r="E3" s="26" t="inlineStr">
        <is>
          <t>GAP resolved</t>
        </is>
      </c>
      <c r="F3" s="26" t="inlineStr">
        <is>
          <t>Release</t>
        </is>
      </c>
      <c r="G3" s="26" t="inlineStr">
        <is>
          <t>PR#</t>
        </is>
      </c>
      <c r="H3" s="26" t="inlineStr">
        <is>
          <t>Status / Date</t>
        </is>
      </c>
    </row>
    <row r="4" ht="28" customHeight="1">
      <c r="A4" s="27" t="inlineStr">
        <is>
          <t>#6</t>
        </is>
      </c>
      <c r="B4" s="27" t="inlineStr">
        <is>
          <t>Pi first-run security</t>
        </is>
      </c>
      <c r="C4" s="27" t="inlineStr">
        <is>
          <t>B-P0</t>
        </is>
      </c>
      <c r="D4" s="27" t="inlineStr">
        <is>
          <t>CAP-010 (FieldSync)</t>
        </is>
      </c>
      <c r="E4" s="27" t="inlineStr">
        <is>
          <t>GAP-AUTH-PI-01</t>
        </is>
      </c>
      <c r="F4" s="27" t="inlineStr">
        <is>
          <t>v0.13.0+v2.1.0</t>
        </is>
      </c>
      <c r="G4" s="27" t="inlineStr">
        <is>
          <t>#7</t>
        </is>
      </c>
      <c r="H4" s="27" t="inlineStr">
        <is>
          <t>CLOSED 2026-04-26</t>
        </is>
      </c>
    </row>
    <row r="5" ht="28" customHeight="1">
      <c r="A5" s="27" t="inlineStr">
        <is>
          <t>#8</t>
        </is>
      </c>
      <c r="B5" s="27" t="inlineStr">
        <is>
          <t>WS pre-auth gate</t>
        </is>
      </c>
      <c r="C5" s="27" t="inlineStr">
        <is>
          <t>B-P0</t>
        </is>
      </c>
      <c r="D5" s="27" t="inlineStr">
        <is>
          <t>CAP-013 (WSAuth), CAP-010</t>
        </is>
      </c>
      <c r="E5" s="27" t="inlineStr">
        <is>
          <t>GAP-AUTH-02, GAP-SYNC-17</t>
        </is>
      </c>
      <c r="F5" s="27" t="inlineStr">
        <is>
          <t>v2.1.0</t>
        </is>
      </c>
      <c r="G5" s="27" t="inlineStr">
        <is>
          <t>#9</t>
        </is>
      </c>
      <c r="H5" s="27" t="inlineStr">
        <is>
          <t>CLOSED 2026-04-26</t>
        </is>
      </c>
    </row>
    <row r="6" ht="28" customHeight="1">
      <c r="A6" s="28" t="inlineStr">
        <is>
          <t>#11</t>
        </is>
      </c>
      <c r="B6" s="28" t="inlineStr">
        <is>
          <t>Trusted Ingest HMAC</t>
        </is>
      </c>
      <c r="C6" s="28" t="inlineStr">
        <is>
          <t>B-P0</t>
        </is>
      </c>
      <c r="D6" s="28" t="inlineStr">
        <is>
          <t>CAP-012 (TrustedIngest), CAP-010</t>
        </is>
      </c>
      <c r="E6" s="28" t="inlineStr">
        <is>
          <t>GAP-SYNC-05</t>
        </is>
      </c>
      <c r="F6" s="28" t="inlineStr">
        <is>
          <t>v2.1.0</t>
        </is>
      </c>
      <c r="G6" s="28" t="inlineStr">
        <is>
          <t>#12</t>
        </is>
      </c>
      <c r="H6" s="28" t="inlineStr">
        <is>
          <t>IN PROGRESS</t>
        </is>
      </c>
    </row>
    <row r="7" ht="28" customHeight="1">
      <c r="A7" s="30" t="inlineStr">
        <is>
          <t>TBD</t>
        </is>
      </c>
      <c r="B7" s="30" t="inlineStr">
        <is>
          <t>Structured logging + collect_debug.sh</t>
        </is>
      </c>
      <c r="C7" s="30" t="inlineStr">
        <is>
          <t>A-Deploy</t>
        </is>
      </c>
      <c r="D7" s="30" t="inlineStr">
        <is>
          <t>CAP-NEW (Logging)</t>
        </is>
      </c>
      <c r="E7" s="30" t="inlineStr">
        <is>
          <t>GAP-DEPLOY-18c, GAP-AUDIT-10b</t>
        </is>
      </c>
      <c r="F7" s="30" t="inlineStr">
        <is>
          <t>v2.1.0</t>
        </is>
      </c>
      <c r="G7" s="30" t="inlineStr">
        <is>
          <t>—</t>
        </is>
      </c>
      <c r="H7" s="30" t="inlineStr">
        <is>
          <t>PLANNED</t>
        </is>
      </c>
    </row>
    <row r="8" ht="28" customHeight="1">
      <c r="A8" s="30" t="inlineStr">
        <is>
          <t>TBD</t>
        </is>
      </c>
      <c r="B8" s="30" t="inlineStr">
        <is>
          <t>/health liveness endpoint</t>
        </is>
      </c>
      <c r="C8" s="30" t="inlineStr">
        <is>
          <t>A-Deploy</t>
        </is>
      </c>
      <c r="D8" s="30" t="inlineStr">
        <is>
          <t>CAP-024 (Deployment/Health)</t>
        </is>
      </c>
      <c r="E8" s="30" t="inlineStr">
        <is>
          <t>GAP-DEPLOY-07c</t>
        </is>
      </c>
      <c r="F8" s="30" t="inlineStr">
        <is>
          <t>v2.1.0</t>
        </is>
      </c>
      <c r="G8" s="30" t="inlineStr">
        <is>
          <t>—</t>
        </is>
      </c>
      <c r="H8" s="30" t="inlineStr">
        <is>
          <t>PLANNED</t>
        </is>
      </c>
    </row>
    <row r="9" ht="28" customHeight="1">
      <c r="A9" s="29" t="inlineStr">
        <is>
          <t>TBD</t>
        </is>
      </c>
      <c r="B9" s="29" t="inlineStr">
        <is>
          <t>Frontend modularise + CSP</t>
        </is>
      </c>
      <c r="C9" s="29" t="inlineStr">
        <is>
          <t>B-P0</t>
        </is>
      </c>
      <c r="D9" s="29" t="inlineStr">
        <is>
          <t>CAP-035 (CommanderFrontend)</t>
        </is>
      </c>
      <c r="E9" s="29" t="inlineStr">
        <is>
          <t>GAP-AUTH-20b, GAP-AUTH-26</t>
        </is>
      </c>
      <c r="F9" s="29" t="inlineStr">
        <is>
          <t>v2.1.0</t>
        </is>
      </c>
      <c r="G9" s="29" t="inlineStr">
        <is>
          <t>—</t>
        </is>
      </c>
      <c r="H9" s="29" t="inlineStr">
        <is>
          <t>PLANNED</t>
        </is>
      </c>
    </row>
    <row r="10" ht="28" customHeight="1">
      <c r="A10" s="29" t="inlineStr">
        <is>
          <t>TBD</t>
        </is>
      </c>
      <c r="B10" s="29" t="inlineStr">
        <is>
          <t>4-role RBAC + endpoint gate</t>
        </is>
      </c>
      <c r="C10" s="29" t="inlineStr">
        <is>
          <t>B-P0</t>
        </is>
      </c>
      <c r="D10" s="29" t="inlineStr">
        <is>
          <t>CAP-014 (RBAC/Endpoint Gate)</t>
        </is>
      </c>
      <c r="E10" s="29" t="inlineStr">
        <is>
          <t>GAP-AUTH-01</t>
        </is>
      </c>
      <c r="F10" s="29" t="inlineStr">
        <is>
          <t>v2.1.0</t>
        </is>
      </c>
      <c r="G10" s="29" t="inlineStr">
        <is>
          <t>—</t>
        </is>
      </c>
      <c r="H10" s="29" t="inlineStr">
        <is>
          <t>PLANNED</t>
        </is>
      </c>
    </row>
    <row r="11" ht="28" customHeight="1">
      <c r="A11" s="31" t="inlineStr">
        <is>
          <t>TBD</t>
        </is>
      </c>
      <c r="B11" s="31" t="inlineStr">
        <is>
          <t>Release Acceptance (GP2+GP3 E2E)</t>
        </is>
      </c>
      <c r="C11" s="31" t="inlineStr">
        <is>
          <t>E-Accept</t>
        </is>
      </c>
      <c r="D11" s="31" t="inlineStr">
        <is>
          <t>All GP2/GP3 CAPs</t>
        </is>
      </c>
      <c r="E11" s="31" t="inlineStr">
        <is>
          <t>—</t>
        </is>
      </c>
      <c r="F11" s="31" t="inlineStr">
        <is>
          <t>v2.1.0</t>
        </is>
      </c>
      <c r="G11" s="31" t="inlineStr">
        <is>
          <t>—</t>
        </is>
      </c>
      <c r="H11" s="31" t="inlineStr">
        <is>
          <t>PLANNED (last)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2026-04-27T03:35:46Z</dcterms:created>
  <dcterms:modified xmlns:dcterms="http://purl.org/dc/terms/" xmlns:xsi="http://www.w3.org/2001/XMLSchema-instance" xsi:type="dcterms:W3CDTF">2026-04-27T08:32:08Z</dcterms:modified>
  <cp:lastModifiedBy>rensheng huang</cp:lastModifiedBy>
</cp:coreProperties>
</file>