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d2d3534488626a3/桌面/"/>
    </mc:Choice>
  </mc:AlternateContent>
  <xr:revisionPtr revIDLastSave="23" documentId="11_CEB1E5690627470600120510F34C01A3B82693D3" xr6:coauthVersionLast="47" xr6:coauthVersionMax="47" xr10:uidLastSave="{AD1FE091-492C-4EE6-B7D7-500EA363B4F5}"/>
  <bookViews>
    <workbookView xWindow="-108" yWindow="-108" windowWidth="23256" windowHeight="12456" activeTab="2" xr2:uid="{00000000-000D-0000-FFFF-FFFF00000000}"/>
  </bookViews>
  <sheets>
    <sheet name="Release Dashboard" sheetId="1" r:id="rId1"/>
    <sheet name="README" sheetId="2" r:id="rId2"/>
    <sheet name="Capability Matrix" sheetId="3" r:id="rId3"/>
    <sheet name="Golden Paths" sheetId="4" r:id="rId4"/>
    <sheet name="Maturity Definitions" sheetId="5" r:id="rId5"/>
    <sheet name="Edition Gates" sheetId="6" r:id="rId6"/>
    <sheet name="Acceptance Evidence" sheetId="7" r:id="rId7"/>
    <sheet name="Issue Traceabilit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8" i="2"/>
  <c r="E7" i="2"/>
  <c r="E6" i="2"/>
  <c r="E5" i="2"/>
</calcChain>
</file>

<file path=xl/sharedStrings.xml><?xml version="1.0" encoding="utf-8"?>
<sst xmlns="http://schemas.openxmlformats.org/spreadsheetml/2006/main" count="1219" uniqueCount="767">
  <si>
    <t>Capability Matrix</t>
  </si>
  <si>
    <t>主表：每列是一項能力，連結 Golden Path、成熟度、版本、資安/合規 gate、驗收證據與下一步。</t>
  </si>
  <si>
    <t>Capability ID</t>
  </si>
  <si>
    <t>Capability</t>
  </si>
  <si>
    <t>Capability Group</t>
  </si>
  <si>
    <t>Description</t>
  </si>
  <si>
    <t>Golden Path(s)</t>
  </si>
  <si>
    <t>Primary User(s)</t>
  </si>
  <si>
    <t>Current Maturity</t>
  </si>
  <si>
    <t>Target Maturity</t>
  </si>
  <si>
    <t>Acceptance Criteria</t>
  </si>
  <si>
    <t>Edition Gate</t>
  </si>
  <si>
    <t>Security Gate / Dependency</t>
  </si>
  <si>
    <t>Compliance Mapping</t>
  </si>
  <si>
    <t>Data Sensitivity</t>
  </si>
  <si>
    <t>Evidence Required</t>
  </si>
  <si>
    <t>External Claim</t>
  </si>
  <si>
    <t>Status</t>
  </si>
  <si>
    <t>Next Action</t>
  </si>
  <si>
    <t>Owner</t>
  </si>
  <si>
    <t>Priority</t>
  </si>
  <si>
    <t>Disclosure</t>
  </si>
  <si>
    <t>Issue#</t>
  </si>
  <si>
    <t>CAP-001</t>
  </si>
  <si>
    <t>TTX Scenario Database</t>
  </si>
  <si>
    <t>TTX / Exercise</t>
  </si>
  <si>
    <t>建立、版本化與載入演訓劇本、情境庫、注入時間軸。</t>
  </si>
  <si>
    <t>GP1</t>
  </si>
  <si>
    <t>演訓導控、PM</t>
  </si>
  <si>
    <t>L1</t>
  </si>
  <si>
    <t>L2</t>
  </si>
  <si>
    <t>可建立劇本、版本、inject 清單；可載入場次；可匯出劇本摘要。</t>
  </si>
  <si>
    <t>Exercise Pro</t>
  </si>
  <si>
    <t>需 session 隔離；資料不可污染 real session。</t>
  </si>
  <si>
    <t>HSEEP / MSEL alignment</t>
  </si>
  <si>
    <t>Low–Medium：演訓資料</t>
  </si>
  <si>
    <t>劇本匯出、場次紀錄、操作截圖</t>
  </si>
  <si>
    <t>支援受控 TTX 劇本管理</t>
  </si>
  <si>
    <t>Partial</t>
  </si>
  <si>
    <t>定義劇本 schema、版本規則與 import/export</t>
  </si>
  <si>
    <t>Product / TTX</t>
  </si>
  <si>
    <t>P1</t>
  </si>
  <si>
    <t>Customer Deliverable</t>
  </si>
  <si>
    <t>—</t>
  </si>
  <si>
    <t>CAP-002</t>
  </si>
  <si>
    <t>TTX Inject</t>
  </si>
  <si>
    <t>依時間、對象、條件注入狀況，記錄送達、閱讀與回應。</t>
  </si>
  <si>
    <t>演訓導控、各組操作員</t>
  </si>
  <si>
    <t>L3</t>
  </si>
  <si>
    <t>可排程、指定對象、記錄送達/閱讀/回應；L3 需 inject 簽章與 audit。</t>
  </si>
  <si>
    <t>Exercise Pro / GovOps</t>
  </si>
  <si>
    <t>Trusted Ingest；inject signature；TTX/real session mutex。</t>
  </si>
  <si>
    <t>HSEEP / MSEL</t>
  </si>
  <si>
    <t>Medium：演訓導控資料</t>
  </si>
  <si>
    <t>inject log、audit log、簽章驗證測試</t>
  </si>
  <si>
    <t>支援 MSEL 式狀況注入</t>
  </si>
  <si>
    <t>補 inject 簽章、read receipt、session mutex 驗收</t>
  </si>
  <si>
    <t>TTX / Security</t>
  </si>
  <si>
    <t>P0</t>
  </si>
  <si>
    <t>Internal + Customer Summary</t>
  </si>
  <si>
    <t>CAP-003</t>
  </si>
  <si>
    <t>TTX Session Control</t>
  </si>
  <si>
    <t>演訓場次啟動、暫停、加速、結束、封存與 real session 隔離。</t>
  </si>
  <si>
    <t>場次狀態可切換；real/TTX 資料硬隔離；封存後不可竄改。</t>
  </si>
  <si>
    <t>session mutex；RBAC；audit evidence。</t>
  </si>
  <si>
    <t>HSEEP / AAR-IP</t>
  </si>
  <si>
    <t>Medium</t>
  </si>
  <si>
    <t>session 狀態紀錄、隔離測試、封存紀錄</t>
  </si>
  <si>
    <t>支援受控演訓場次管理</t>
  </si>
  <si>
    <t>明確 TTX session lifecycle 與封存規則</t>
  </si>
  <si>
    <t>Product / Backend</t>
  </si>
  <si>
    <t>CAP-004</t>
  </si>
  <si>
    <t>Command COP</t>
  </si>
  <si>
    <t>Command / COP</t>
  </si>
  <si>
    <t>指揮官態勢總覽：事件、資源、異常、來源時間、告警與趨勢。</t>
  </si>
  <si>
    <t>GP2</t>
  </si>
  <si>
    <t>指揮官、幕僚</t>
  </si>
  <si>
    <t>10 秒內看見關鍵態勢；事件/資源/異常有來源時間；可篩選與 drill-down。</t>
  </si>
  <si>
    <t>snapshot/sync 需可信；資料衝突需標示。</t>
  </si>
  <si>
    <t>NIMS Communications &amp; Information Management</t>
  </si>
  <si>
    <t>Medium–High：視輸入資料</t>
  </si>
  <si>
    <t>UI 截圖、E2E 測試、資料來源標記</t>
  </si>
  <si>
    <t>支援受控演訓 COP</t>
  </si>
  <si>
    <t>定義 COP 最小資訊架構與衝突提示</t>
  </si>
  <si>
    <t>Product / Frontend</t>
  </si>
  <si>
    <t>CAP-005</t>
  </si>
  <si>
    <t>Event Timeline</t>
  </si>
  <si>
    <t>將 inject、現場回報、決策、任務、同步事件串成時間線。</t>
  </si>
  <si>
    <t>GP1, GP2, GP3</t>
  </si>
  <si>
    <t>指揮官、AAR 分析者</t>
  </si>
  <si>
    <t>可按時間重建事件；L3 需區分當時已知與事後補充。</t>
  </si>
  <si>
    <t>audit log；clock sync；trusted ingest。</t>
  </si>
  <si>
    <t>ICS 214 / AAR evidence</t>
  </si>
  <si>
    <t>Medium–High</t>
  </si>
  <si>
    <t>timeline 匯出、audit 對照、回放測試</t>
  </si>
  <si>
    <t>支援演訓事件時間線</t>
  </si>
  <si>
    <t>建立 timeline source model 與 replay view</t>
  </si>
  <si>
    <t>Backend / AAR</t>
  </si>
  <si>
    <t>CAP-006</t>
  </si>
  <si>
    <t>Decision Record</t>
  </si>
  <si>
    <t>Command / Workflow</t>
  </si>
  <si>
    <t>記錄決策者、時間、依據、決策內容、影響事件與後續任務。</t>
  </si>
  <si>
    <t>GP1, GP2</t>
  </si>
  <si>
    <t>L0</t>
  </si>
  <si>
    <t>可建立決策、關聯事件/任務、記錄依據；L3 需 audit 與 AAR 可追溯。</t>
  </si>
  <si>
    <t>GovOps</t>
  </si>
  <si>
    <t>RBAC；audit evidence；Unity of Command。</t>
  </si>
  <si>
    <t>ICS 214 / NIMS Command &amp; Coordination</t>
  </si>
  <si>
    <t>High：決策責任資料</t>
  </si>
  <si>
    <t>決策紀錄、AAR link、audit trail</t>
  </si>
  <si>
    <t>可支援決策紀錄與 AAR 追溯</t>
  </si>
  <si>
    <t>Not Started</t>
  </si>
  <si>
    <t>定義 decision schema 與與 event/task 關聯</t>
  </si>
  <si>
    <t>CAP-007</t>
  </si>
  <si>
    <t>Task Assignment</t>
  </si>
  <si>
    <t>決策後產生任務，指定責任組、期限、狀態與完成回報。</t>
  </si>
  <si>
    <t>指揮官、組長、操作員</t>
  </si>
  <si>
    <t>可建立/指派/更新/結案任務；現場可回報完成。</t>
  </si>
  <si>
    <t>RBAC；audit log；notification。</t>
  </si>
  <si>
    <t>NIMS Resource Management</t>
  </si>
  <si>
    <t>任務測試、狀態轉換紀錄</t>
  </si>
  <si>
    <t>支援受控演訓任務追蹤</t>
  </si>
  <si>
    <t>定義最小 task lifecycle：open/assigned/done/closed</t>
  </si>
  <si>
    <t>P2</t>
  </si>
  <si>
    <t>CAP-008</t>
  </si>
  <si>
    <t>PWA Field Report</t>
  </si>
  <si>
    <t>Field / PWA</t>
  </si>
  <si>
    <t>收容、醫療、前進組等現場填報資料，支援低負擔輸入。</t>
  </si>
  <si>
    <t>GP2, GP3</t>
  </si>
  <si>
    <t>現場操作員、志工</t>
  </si>
  <si>
    <t>可離線填報、暫存、送出狀態明確；資料格式可被 COP 採用。</t>
  </si>
  <si>
    <t>PII policy；input validation；sync signing。</t>
  </si>
  <si>
    <t>NIMS Information Management / PII policy</t>
  </si>
  <si>
    <t>Medium–High：可能含個資/醫療</t>
  </si>
  <si>
    <t>PWA E2E 測試、離線測試、資料欄位清單</t>
  </si>
  <si>
    <t>支援現場受控回報</t>
  </si>
  <si>
    <t>定義採納/退回/修正流程與 UI 狀態</t>
  </si>
  <si>
    <t>PWA / Product</t>
  </si>
  <si>
    <t>CAP-009</t>
  </si>
  <si>
    <t>Report Adoption Workflow</t>
  </si>
  <si>
    <t>Field / Data Quality</t>
  </si>
  <si>
    <t>現場回報進 COP 前的採納、退回、修正與衝突裁決流程。</t>
  </si>
  <si>
    <t>幕僚、組長、指揮官</t>
  </si>
  <si>
    <t>每筆回報有 pending/accepted/rejected/superseded 狀態；採納者與理由可追溯。</t>
  </si>
  <si>
    <t>RBAC；audit；trusted ingest；conflict resolution。</t>
  </si>
  <si>
    <t>NIMS Information Management / AAR evidence</t>
  </si>
  <si>
    <t>High</t>
  </si>
  <si>
    <t>採納流程測試、audit trail、衝突案例</t>
  </si>
  <si>
    <t>可支援資料採納與追溯</t>
  </si>
  <si>
    <t>新增 adoption_status 與 conflict resolution 規格</t>
  </si>
  <si>
    <t>CAP-010</t>
  </si>
  <si>
    <t>Pi / Field Node Sync</t>
  </si>
  <si>
    <t>Field / Sync</t>
  </si>
  <si>
    <t>Pi 或 Field Node 與 Command Dashboard 之間的現場同步能力。</t>
  </si>
  <si>
    <t>現場節點、維運</t>
  </si>
  <si>
    <t>可同步狀態；L3 需 node identity、key rotation、replay protection。</t>
  </si>
  <si>
    <t>GovOps / Tactical</t>
  </si>
  <si>
    <t>PI-01 CLOSED #6/PR#7; WS-01 CLOSED #8/PR#9; HMAC IN PROGRESS #11/PR#12; API key hash TBD</t>
  </si>
  <si>
    <t>NIST SC / IA / OT-like deployment</t>
  </si>
  <si>
    <t>High：同步與節點密鑰</t>
  </si>
  <si>
    <t>PR#7 PI-01 closed 2026-04-26; PR#9 WS-01 closed 2026-04-26; #11 TI-01 in progress PR#12</t>
  </si>
  <si>
    <t>Pi field node sync supported; Pi deployment requires IT-managed one-time token (PI-01 closed); WS pre-auth gate enforced (WS-01 closed); HMAC-SHA256 snapshot integrity verified (TI-01 closed)</t>
  </si>
  <si>
    <t>Partial Hardened</t>
  </si>
  <si>
    <t>Pending #11 (TI-01) close then evaluate L2</t>
  </si>
  <si>
    <t>Backend / Node / Security</t>
  </si>
  <si>
    <t>Internal Only</t>
  </si>
  <si>
    <t>#6, #8, #11</t>
  </si>
  <si>
    <t>CAP-011</t>
  </si>
  <si>
    <t>QR Offline Snapshot</t>
  </si>
  <si>
    <t>Field / Offline</t>
  </si>
  <si>
    <t>斷網時產生/掃描 QR 快照，以離線方式匯入重要狀態。</t>
  </si>
  <si>
    <t>GP3</t>
  </si>
  <si>
    <t>現場操作員、幕僚</t>
  </si>
  <si>
    <t>可離線匯入；L3 需簽章、nonce、防重放、來源標示。</t>
  </si>
  <si>
    <t>Trusted Ingest；QR signature；replay cache。</t>
  </si>
  <si>
    <t>NIMS resiliency / AAR evidence</t>
  </si>
  <si>
    <t>QR 匯入測試、簽章驗證、重放拒收測試</t>
  </si>
  <si>
    <t>支援斷網備援回報</t>
  </si>
  <si>
    <t>定義 QR payload 格式與驗證流程</t>
  </si>
  <si>
    <t>PWA / Backend / Security</t>
  </si>
  <si>
    <t>TBD (QR)</t>
  </si>
  <si>
    <t>CAP-012</t>
  </si>
  <si>
    <t>Snapshot / Sync Trusted Ingest</t>
  </si>
  <si>
    <t>Security / Data Integrity</t>
  </si>
  <si>
    <t>所有 snapshot、sync_push、QR、inject 的簽章、nonce、timestamp 與防重放控制。</t>
  </si>
  <si>
    <t>後端、資安、架構師</t>
  </si>
  <si>
    <t>未簽章資料拒收；重放拒收；body 變更簽章失效；key_id 可追溯。</t>
  </si>
  <si>
    <t>HMAC/signature；nonce cache；timestamp skew；key rotation。</t>
  </si>
  <si>
    <t>NIST IA/SC/SI / Data integrity</t>
  </si>
  <si>
    <t>PR#12 + commit 6bda2dc + 5e855c6 (TI-01 Option A close)</t>
  </si>
  <si>
    <t>Snapshot and sync data integrity verified via HMAC-SHA256 (TI-01 closed); replay and body-tampering attacks mitigated</t>
  </si>
  <si>
    <t>HMAC key rotation (C3-B) + multi-Pi provisioning (C3-A); evaluate L2 after C3-A/B</t>
  </si>
  <si>
    <t>Security / Backend</t>
  </si>
  <si>
    <t>#11</t>
  </si>
  <si>
    <t>CAP-013</t>
  </si>
  <si>
    <t>WebSocket Pre-auth Gate</t>
  </si>
  <si>
    <t>Security / Sync</t>
  </si>
  <si>
    <t>WebSocket 狀態改變訊息必須先通過 server-side auth gate。</t>
  </si>
  <si>
    <t>後端、Node、資安</t>
  </si>
  <si>
    <t>未 auth client 送 delta/sync_push/clear_table 必須拒絕；禁止 client 自報 role。</t>
  </si>
  <si>
    <t>WS auth gate；server-side session；role gate。</t>
  </si>
  <si>
    <t>NIST AC/IA/SC</t>
  </si>
  <si>
    <t>PR#9 WS-01 closed 2026-04-26; 19/19 unit tests pass</t>
  </si>
  <si>
    <t>WebSocket pre-auth gate enforced; unauthenticated WS write to COP blocked (WS-01 closed)</t>
  </si>
  <si>
    <t>Node / Security</t>
  </si>
  <si>
    <t>#8</t>
  </si>
  <si>
    <t>CAP-014</t>
  </si>
  <si>
    <t>RBAC / Endpoint Gate</t>
  </si>
  <si>
    <t>Security / Auth</t>
  </si>
  <si>
    <t>後端角色權限控管，避免只靠前端或 session-level auth。</t>
  </si>
  <si>
    <t>全部</t>
  </si>
  <si>
    <t>系統管理員、所有使用者</t>
  </si>
  <si>
    <t>每個 state-changing endpoint 有 role gate；角色變更立即 revoke session。</t>
  </si>
  <si>
    <t>C1-A Phase 2；session revoke；least privilege。</t>
  </si>
  <si>
    <t>NIST AC / IA</t>
  </si>
  <si>
    <t>RBAC matrix、API tests、session revoke tests</t>
  </si>
  <si>
    <t>支援角色權限控管（完成後）</t>
  </si>
  <si>
    <t>定義角色 enum、endpoint map 與測試</t>
  </si>
  <si>
    <t>Backend / Security</t>
  </si>
  <si>
    <t>TBD (RBAC)</t>
  </si>
  <si>
    <t>CAP-015</t>
  </si>
  <si>
    <t>Audit Evidence</t>
  </si>
  <si>
    <t>Security / Audit</t>
  </si>
  <si>
    <t>重要操作、資料採納、決策、匯出與 admin 行為的稽核證據。</t>
  </si>
  <si>
    <t>GP1, GP2, GP3, GP4, GP5</t>
  </si>
  <si>
    <t>資安、PM、客戶驗收</t>
  </si>
  <si>
    <t>所有重要操作可追溯；L3 需 hash chain、append-only、correlation ID。</t>
  </si>
  <si>
    <t>C1-D；不可刪改；retention；correlation ID。</t>
  </si>
  <si>
    <t>NIST AU / ICS 214 / AAR evidence</t>
  </si>
  <si>
    <t>audit log、hash chain 驗證、reset 不刪 log 測試</t>
  </si>
  <si>
    <t>支援稽核追溯（完成後）</t>
  </si>
  <si>
    <t>補 hash chain 與禁止 reset 刪 audit</t>
  </si>
  <si>
    <t>TBD (audit chain)</t>
  </si>
  <si>
    <t>CAP-016</t>
  </si>
  <si>
    <t>AAR Timeline</t>
  </si>
  <si>
    <t>AAR</t>
  </si>
  <si>
    <t>從事件、回報、決策與 inject 產生 AAR 時間線。</t>
  </si>
  <si>
    <t>GP1, GP3</t>
  </si>
  <si>
    <t>演訓顧問、PM、客戶</t>
  </si>
  <si>
    <t>時間線可重建；每個節點有來源、時間、責任；L3 可回點原始證據。</t>
  </si>
  <si>
    <t>audit evidence；AAR reproducibility；source provenance。</t>
  </si>
  <si>
    <t>HSEEP AAR/IP / ICS 214</t>
  </si>
  <si>
    <t>AAR 匯出、source link、replay 測試</t>
  </si>
  <si>
    <t>支援 AAR 時間線</t>
  </si>
  <si>
    <t>定義 AAR source map 與回點機制</t>
  </si>
  <si>
    <t>AAR / Product</t>
  </si>
  <si>
    <t>CAP-017</t>
  </si>
  <si>
    <t>AAR Improvement Plan</t>
  </si>
  <si>
    <t>從演訓發現產生改善事項、責任人、期限與追蹤狀態。</t>
  </si>
  <si>
    <t>演訓顧問、承辦、客戶主管</t>
  </si>
  <si>
    <t>可建立 issue、assign owner、due date、status，匯出改善計畫。</t>
  </si>
  <si>
    <t>與 AAR 結論需有來源；需權限控管。</t>
  </si>
  <si>
    <t>HSEEP AAR/IP</t>
  </si>
  <si>
    <t>改善計畫匯出、狀態追蹤測試</t>
  </si>
  <si>
    <t>支援演訓改善事項追蹤</t>
  </si>
  <si>
    <t>定義 improvement item schema 與匯出格式</t>
  </si>
  <si>
    <t>CAP-018</t>
  </si>
  <si>
    <t>HSEEP / MSEL / AAR Alignment</t>
  </si>
  <si>
    <t>Compliance / Exercise</t>
  </si>
  <si>
    <t>將 TTX 注入、AAR、改善計畫對齊 HSEEP/MSEL/AAR-IP 流程。</t>
  </si>
  <si>
    <t>GP1, GP4</t>
  </si>
  <si>
    <t>演訓顧問、標案、PM</t>
  </si>
  <si>
    <t>MSEL 欄位對照、AAR/IP 模板、可產生採購/演訓附件。</t>
  </si>
  <si>
    <t>claim language：只能說對齊/參考，不能說 certified。</t>
  </si>
  <si>
    <t>HSEEP / MSEL / AAR-IP</t>
  </si>
  <si>
    <t>Low–Medium</t>
  </si>
  <si>
    <t>對照表、範本匯出、演訓報告</t>
  </si>
  <si>
    <t>參考 HSEEP 流程並支援 AAR/IP 類輸出</t>
  </si>
  <si>
    <t>建立欄位 mapping 與範本</t>
  </si>
  <si>
    <t>Compliance / TTX</t>
  </si>
  <si>
    <t>Public / Sales Safe</t>
  </si>
  <si>
    <t>CAP-019</t>
  </si>
  <si>
    <t>Resource Status Tracking</t>
  </si>
  <si>
    <t>Resource</t>
  </si>
  <si>
    <t>追蹤床位、物資、醫療量能、人力等狀態。</t>
  </si>
  <si>
    <t>資源狀態可更新、顯示趨勢、標示來源時間；基本異常提示。</t>
  </si>
  <si>
    <t>Trusted ingest；input validation。</t>
  </si>
  <si>
    <t>狀態更新測試、COP 顯示、來源紀錄</t>
  </si>
  <si>
    <t>支援資源狀態追蹤</t>
  </si>
  <si>
    <t>補資料來源與衝突標示</t>
  </si>
  <si>
    <t>CAP-020</t>
  </si>
  <si>
    <t>Resource Request / Dispatch</t>
  </si>
  <si>
    <t>資源請求、核准、派遣、狀態變更與釋回。</t>
  </si>
  <si>
    <t>指揮官、幕僚、組長</t>
  </si>
  <si>
    <t>需求→請求→指派→執行→回報→結案；L3 需可匯出資源紀錄。</t>
  </si>
  <si>
    <t>RBAC；audit；resource typing。</t>
  </si>
  <si>
    <t>ICS 213RR / ICS 210 / NIMS Resource Management</t>
  </si>
  <si>
    <t>資源請求流程測試、報表、audit</t>
  </si>
  <si>
    <t>支援資源請求與派遣（完成後）</t>
  </si>
  <si>
    <t>先定最小 resource request workflow</t>
  </si>
  <si>
    <t>CAP-021</t>
  </si>
  <si>
    <t>Operational Period</t>
  </si>
  <si>
    <t>ICS / Workflow</t>
  </si>
  <si>
    <t>以 operational period 管理目標、任務、IAP 與報告。</t>
  </si>
  <si>
    <t>GP2, GP5</t>
  </si>
  <si>
    <t>指揮官、計畫組、幕僚</t>
  </si>
  <si>
    <t>可建立作業週期、設定目標、關聯事件/資源/AAR。</t>
  </si>
  <si>
    <t>NIMS/ICS workflow；RBAC；IAP data model。</t>
  </si>
  <si>
    <t>NIMS / ICS Planning P</t>
  </si>
  <si>
    <t>schema、UI、IAP 匯出測試</t>
  </si>
  <si>
    <t>後續支援 ICS operational period</t>
  </si>
  <si>
    <t>排入 v3 或 GovOps workflow</t>
  </si>
  <si>
    <t>Product / Compliance</t>
  </si>
  <si>
    <t>P3</t>
  </si>
  <si>
    <t>Customer Summary</t>
  </si>
  <si>
    <t>CAP-022</t>
  </si>
  <si>
    <t>ICS Forms Export</t>
  </si>
  <si>
    <t>ICS / Reporting</t>
  </si>
  <si>
    <t>輸出 ICS 214、201、209、213RR 等表單或相容報表。</t>
  </si>
  <si>
    <t>GP1, GP2, GP4</t>
  </si>
  <si>
    <t>演訓顧問、客戶承辦、標案</t>
  </si>
  <si>
    <t>至少 ICS 214 完整；GovOps 需 201/209/213RR 等資料基礎。</t>
  </si>
  <si>
    <t>資料欄位完整性；不可過度宣稱 FEMA compliant。</t>
  </si>
  <si>
    <t>FEMA ICS Forms / ICS 508</t>
  </si>
  <si>
    <t>表單匯出、欄位 mapping、樣本報告</t>
  </si>
  <si>
    <t>部分對應 FEMA ICS 表單資料需求</t>
  </si>
  <si>
    <t>建立 ICS forms coverage matrix 與匯出優先序</t>
  </si>
  <si>
    <t>Compliance / Reporting</t>
  </si>
  <si>
    <t>CAP-023</t>
  </si>
  <si>
    <t>Backup / Restore</t>
  </si>
  <si>
    <t>Ops / Reliability</t>
  </si>
  <si>
    <t>SQLite online backup、壓縮、驗證、還原演練與異地保存。</t>
  </si>
  <si>
    <t>GP4, GP5</t>
  </si>
  <si>
    <t>DevOps、客戶 IT</t>
  </si>
  <si>
    <t>可備份、verify、還原預演；L3 需 DR drill report。</t>
  </si>
  <si>
    <t>C3-D；DR playbook；retention。</t>
  </si>
  <si>
    <t>NIST CP / Recover</t>
  </si>
  <si>
    <t>High：備份可能含個資</t>
  </si>
  <si>
    <t>backup log、restore test、DR drill report</t>
  </si>
  <si>
    <t>支援備份與還原機制</t>
  </si>
  <si>
    <t>補 systemd/timer、DR playbook、演練紀錄</t>
  </si>
  <si>
    <t>DevOps / Backend</t>
  </si>
  <si>
    <t>TBD (DR drill)</t>
  </si>
  <si>
    <t>CAP-024</t>
  </si>
  <si>
    <t>Deployment / Health Check</t>
  </si>
  <si>
    <t>Ops / Deployment</t>
  </si>
  <si>
    <t>部署拓撲、健康檢查、metrics、憑證、服務啟停與維運手冊。</t>
  </si>
  <si>
    <t>GP4</t>
  </si>
  <si>
    <t>DevOps、客戶 IT、資安</t>
  </si>
  <si>
    <t>新工程師可照文件部署；health/metrics 可監控；prod 強制 TLS。</t>
  </si>
  <si>
    <t>C3-B install script; STRICT_TLS; nginx/step-ca; systemd.
v2.1.0: /health liveness only (L1 partial — Exercise Pro 序列A).
v2.2.0: /metrics + Prometheus + alert rules (L2 full — GovOps).</t>
  </si>
  <si>
    <t>NIST CM / SC / Operations</t>
  </si>
  <si>
    <t>部署 runbook、health output、TLS 驗證</t>
  </si>
  <si>
    <t>支援可維運部署</t>
  </si>
  <si>
    <t>v2.1.0: implement /health basic liveness ({"status":"ok","version":"x.x.x"}).
v2.2.0: add /metrics Prometheus + alerting.</t>
  </si>
  <si>
    <t>DevOps</t>
  </si>
  <si>
    <t>TBD (/health)</t>
  </si>
  <si>
    <t>CAP-025</t>
  </si>
  <si>
    <t>Product Edition Gate</t>
  </si>
  <si>
    <t>Product / Commercial</t>
  </si>
  <si>
    <t>Demo、Exercise Pro、GovOps、Tactical 的功能、合規、宣稱與安全邊界。</t>
  </si>
  <si>
    <t>PM、業務、法務</t>
  </si>
  <si>
    <t>每版功能/限制/最低安全控制/可宣稱用語清楚；授權 gate 可驗證。</t>
  </si>
  <si>
    <t>License signature；claim guide；acceptance matrix。</t>
  </si>
  <si>
    <t>Procurement / Sales governance</t>
  </si>
  <si>
    <t>Low</t>
  </si>
  <si>
    <t>edition matrix、license tests、claim guide</t>
  </si>
  <si>
    <t>支援分層產品交付</t>
  </si>
  <si>
    <t>建立 edition_feature_matrix 與 license gate</t>
  </si>
  <si>
    <t>PM / Legal / Product</t>
  </si>
  <si>
    <t>TBD (edition gate)</t>
  </si>
  <si>
    <t>CAP-026</t>
  </si>
  <si>
    <t>Claim Language Guardrail</t>
  </si>
  <si>
    <t>定義可以說、謹慎說、不可說的合規與功能宣稱。</t>
  </si>
  <si>
    <t>業務、法務、PM</t>
  </si>
  <si>
    <t>所有 sales copy 與標案文字遵守 claim guide；避免 NIST/FEMA 過度宣稱。</t>
  </si>
  <si>
    <t>需結合實際 evidence 與 profile。</t>
  </si>
  <si>
    <t>Procurement / Legal</t>
  </si>
  <si>
    <t>claim guide、審查紀錄</t>
  </si>
  <si>
    <t>參考/對齊，而非 certified</t>
  </si>
  <si>
    <t>將 claim guide 納入 release/標案審查</t>
  </si>
  <si>
    <t>Legal / PM</t>
  </si>
  <si>
    <t>TBD (claim guardrail)</t>
  </si>
  <si>
    <t>CAP-027</t>
  </si>
  <si>
    <t>Data Classification / Retention</t>
  </si>
  <si>
    <t>Data Governance</t>
  </si>
  <si>
    <t>資料分類、保存期限、匯出限制、清除、去識別化與訓練用途。</t>
  </si>
  <si>
    <t>GP3, GP4, GP5</t>
  </si>
  <si>
    <t>PM、法務、資安、客戶</t>
  </si>
  <si>
    <t>每類資料有敏感度、保存期、匯出、加密、AAR/AI 使用規則。</t>
  </si>
  <si>
    <t>PII policy；training data consent；retention。</t>
  </si>
  <si>
    <t>個資法 / NIST PT / Privacy</t>
  </si>
  <si>
    <t>資料分類表、保存政策、清除紀錄</t>
  </si>
  <si>
    <t>支援資料治理與保存策略</t>
  </si>
  <si>
    <t>建立 data classification &amp; retention matrix</t>
  </si>
  <si>
    <t>Data / Legal / Security</t>
  </si>
  <si>
    <t>TBD (data retention)</t>
  </si>
  <si>
    <t>CAP-028</t>
  </si>
  <si>
    <t>AI Summary / Classification</t>
  </si>
  <si>
    <t>AI</t>
  </si>
  <si>
    <t>AI 將文字/語音紀錄整理、分類與摘要，供人工確認。</t>
  </si>
  <si>
    <t>幕僚、AAR 分析者</t>
  </si>
  <si>
    <t>AI 只產生草稿；必須標示來源與信心；人工批准後才入報告。</t>
  </si>
  <si>
    <t>Flagship / GovOps optional</t>
  </si>
  <si>
    <t>AI governance；PII redaction；human-in-the-loop。</t>
  </si>
  <si>
    <t>AI governance / Privacy</t>
  </si>
  <si>
    <t>AI output log、source attribution、approval record</t>
  </si>
  <si>
    <t>AI 輔助整理，不取代指揮決策</t>
  </si>
  <si>
    <t>先做 AI capability ladder，從 AAR 草稿開始</t>
  </si>
  <si>
    <t>AI / Product</t>
  </si>
  <si>
    <t>CAP-029</t>
  </si>
  <si>
    <t>AI AAR Draft</t>
  </si>
  <si>
    <t>AI / AAR</t>
  </si>
  <si>
    <t>根據 timeline、事件、決策、回報產生 AAR 草稿。</t>
  </si>
  <si>
    <t>AAR 分析者、演訓顧問</t>
  </si>
  <si>
    <t>草稿可追溯來源；人工審核；不得自動輸出正式結論。</t>
  </si>
  <si>
    <t>Flagship / Exercise Pro optional</t>
  </si>
  <si>
    <t>AI governance；AAR reproducibility。</t>
  </si>
  <si>
    <t>HSEEP AAR-IP / AI governance</t>
  </si>
  <si>
    <t>草稿樣本、來源引用、審核紀錄</t>
  </si>
  <si>
    <t>AI 輔助 AAR 草稿生成</t>
  </si>
  <si>
    <t>建立 AAR source map 後再導入 AI</t>
  </si>
  <si>
    <t>CAP-030</t>
  </si>
  <si>
    <t>Silent Scribe</t>
  </si>
  <si>
    <t>Tactical / AI</t>
  </si>
  <si>
    <t>戰術版語音/現場紀錄工具，以 ICS_DMAS 為後端，但屬獨立產品線。</t>
  </si>
  <si>
    <t>前線人員、民防/準軍事組織</t>
  </si>
  <si>
    <t>語音轉事件草稿；不可直接下決策；資料可加密與安全清除。</t>
  </si>
  <si>
    <t>Tactical</t>
  </si>
  <si>
    <t>mTLS/WireGuard；Panic Wipe；PII/tactical data governance。</t>
  </si>
  <si>
    <t>High-sensitivity field operations</t>
  </si>
  <si>
    <t>Critical：戰術/位置/語音</t>
  </si>
  <si>
    <t>安全設計、裝置測試、資料銷毀紀錄</t>
  </si>
  <si>
    <t>高敏感版本需獨立驗收</t>
  </si>
  <si>
    <t>保持與 GovOps 分線，不併入基礎產品</t>
  </si>
  <si>
    <t>Tactical / AI / Security</t>
  </si>
  <si>
    <t>P4</t>
  </si>
  <si>
    <t>Partner Restricted</t>
  </si>
  <si>
    <t>CAP-031</t>
  </si>
  <si>
    <t>Incident Response Playbook</t>
  </si>
  <si>
    <t>Ops / Security</t>
  </si>
  <si>
    <t>資安事件、資料污染、Pi 被奪、個資外洩、同步異常的處置流程。</t>
  </si>
  <si>
    <t>GP5</t>
  </si>
  <si>
    <t>資安、DevOps、客戶 IT</t>
  </si>
  <si>
    <t>有分類、通報、隔離、復原、證據保存與桌上演練紀錄。</t>
  </si>
  <si>
    <t>C1/C3；IR/DR；audit evidence。</t>
  </si>
  <si>
    <t>NIST 800-61 / CSF Respond</t>
  </si>
  <si>
    <t>IR playbook、演練紀錄、post-incident template</t>
  </si>
  <si>
    <t>支援事件應變流程</t>
  </si>
  <si>
    <t>先針對資料污染與 Pi compromise 建立 playbook</t>
  </si>
  <si>
    <t>Security / Ops</t>
  </si>
  <si>
    <t>TBD (IR plan)</t>
  </si>
  <si>
    <t>CAP-032</t>
  </si>
  <si>
    <t>Accessibility / WCAG</t>
  </si>
  <si>
    <t>Quality / Accessibility</t>
  </si>
  <si>
    <t>三端 PWA 與儀表板達到基本無障礙與現場可用性。</t>
  </si>
  <si>
    <t>QA、PM、客戶驗收</t>
  </si>
  <si>
    <t>WCAG AA 測試；關鍵操作可鍵盤/讀屏；字體與對比符合。</t>
  </si>
  <si>
    <t>GovOps / C6</t>
  </si>
  <si>
    <t>C6；accessibility test plan。</t>
  </si>
  <si>
    <t>WCAG 2.0 AA / Procurement</t>
  </si>
  <si>
    <t>WCAG report、Lighthouse、manual tests</t>
  </si>
  <si>
    <t>支援無障礙驗收（完成後）</t>
  </si>
  <si>
    <t>建立 accessibility test plan</t>
  </si>
  <si>
    <t>QA / Frontend</t>
  </si>
  <si>
    <t>CAP-033</t>
  </si>
  <si>
    <t>Field Usability</t>
  </si>
  <si>
    <t>UX / Field</t>
  </si>
  <si>
    <t>災害現場壓力、低光、平板、戴手套、志工操作下的可用性。</t>
  </si>
  <si>
    <t>PM、UX、演訓顧問、現場操作員</t>
  </si>
  <si>
    <t>關鍵填報流程少步驟；離線/同步狀態清楚；錯誤可回復。</t>
  </si>
  <si>
    <t>Exercise Pro / Tactical</t>
  </si>
  <si>
    <t>不直接是資安，但影響資料品質與採用率。</t>
  </si>
  <si>
    <t>Operational usability</t>
  </si>
  <si>
    <t>Medium：可能造成錯誤資料</t>
  </si>
  <si>
    <t>field test checklist、觀察紀錄、UX issue list</t>
  </si>
  <si>
    <t>支援現場操作友善性</t>
  </si>
  <si>
    <t>安排 tabletop + field usability test</t>
  </si>
  <si>
    <t>UX / Product</t>
  </si>
  <si>
    <t>CAP-034</t>
  </si>
  <si>
    <t>Release Evidence Pack</t>
  </si>
  <si>
    <t>Release / Procurement</t>
  </si>
  <si>
    <t>每版 release 的測試、SBOM、弱掃、備份驗證、合規對照與已知限制。</t>
  </si>
  <si>
    <t>PM、DevOps、標案、客戶資安</t>
  </si>
  <si>
    <t>每版有 coverage、SAST/SCA、SBOM、known issues、backup verify、acceptance matrix。</t>
  </si>
  <si>
    <t>C2/C6；no high/critical for release gate。</t>
  </si>
  <si>
    <t>NIST SSDF / Supply Chain</t>
  </si>
  <si>
    <t>Low–High：視附錄</t>
  </si>
  <si>
    <t>release evidence pack、SBOM、scan report</t>
  </si>
  <si>
    <t>可提供交付證據包</t>
  </si>
  <si>
    <t>建立 evidence_pack_template 與 CI artifacts</t>
  </si>
  <si>
    <t>Release / DevOps</t>
  </si>
  <si>
    <t>TBD (SBOM)</t>
  </si>
  <si>
    <t>CAP-035</t>
  </si>
  <si>
    <t>Commander Frontend Security</t>
  </si>
  <si>
    <t>commander_dashboard.html 模組化：移除 inline JS，CSP enforce，為 RBAC UI 提供安全基礎。</t>
  </si>
  <si>
    <t>Frontend / Security</t>
  </si>
  <si>
    <t>移除所有 inline script/handler；CSP enforce 不含 unsafe-inline；vitest + pytest green。</t>
  </si>
  <si>
    <t>C1-F; 阻擋 RBAC P0 (CAP-014)</t>
  </si>
  <si>
    <t>NIST SC-18, AC-3, V14.4(3)</t>
  </si>
  <si>
    <t>PR# (TBD); AC-1~AC-14 all green</t>
  </si>
  <si>
    <t>支援 commander 路徑 XSS 防護</t>
  </si>
  <si>
    <t>Planned</t>
  </si>
  <si>
    <t>C1-F close after frontend+CSP task</t>
  </si>
  <si>
    <t>TBD (C1-F)</t>
  </si>
  <si>
    <t>CAP-036</t>
  </si>
  <si>
    <t>Operational Logging &amp; Debug</t>
  </si>
  <si>
    <t>Structured JSON logging (structlog), correlation ID, 8 priority log positions, log persistence to /var/log/ics/, collect_debug.sh one-command debug package.</t>
  </si>
  <si>
    <t>GP2, GP3, GP4</t>
  </si>
  <si>
    <t>DevOps, 現場維運人員</t>
  </si>
  <si>
    <t>ERROR log 持久化；collect_debug.sh 產出 zip；correlation ID 跨組件追蹤；prod mode 只出 INFO+；8 個優先位置有 log。</t>
  </si>
  <si>
    <t>C1-D; 部署基礎設施，在所有 P0 Security 之前完成</t>
  </si>
  <si>
    <t>NIST AU-2, AU-3, AU-12, SI-11</t>
  </si>
  <si>
    <t>Low (log metadata)</t>
  </si>
  <si>
    <t>PR# (TBD); collect_debug.sh demo; log rotation verify</t>
  </si>
  <si>
    <t>支援現場問題診斷與事後稽核</t>
  </si>
  <si>
    <t>序列 A — 部署基礎設施，最優先</t>
  </si>
  <si>
    <t>TBD (C1-D)</t>
  </si>
  <si>
    <t>Legend</t>
  </si>
  <si>
    <t>ICS_DMAS — Release Dashboard</t>
  </si>
  <si>
    <t>Audience: Human owner / Business / Procurement  |  Maintained by Matrix Steward after each Issue closes  |  Technical detail → Capability Matrix sheet</t>
  </si>
  <si>
    <t>A.  Release Status</t>
  </si>
  <si>
    <t>Release</t>
  </si>
  <si>
    <t>Edition</t>
  </si>
  <si>
    <t>GP Scope</t>
  </si>
  <si>
    <t>P0 Issues</t>
  </si>
  <si>
    <t>P1 Issues</t>
  </si>
  <si>
    <t>Claims (after Release Acceptance)</t>
  </si>
  <si>
    <t>GP Scope not included</t>
  </si>
  <si>
    <t>Target</t>
  </si>
  <si>
    <t>v0.12.x</t>
  </si>
  <si>
    <t>Demo</t>
  </si>
  <si>
    <t>CLOSED</t>
  </si>
  <si>
    <t>COP basic demo</t>
  </si>
  <si>
    <t>2026-04</t>
  </si>
  <si>
    <t>v0.13.0</t>
  </si>
  <si>
    <t>#6 CLOSED</t>
  </si>
  <si>
    <t>IN PROGRESS</t>
  </si>
  <si>
    <t>Pi first-run secure deploy</t>
  </si>
  <si>
    <t>TTX, AAR, RBAC, encryption</t>
  </si>
  <si>
    <t>2026-05</t>
  </si>
  <si>
    <t>v2.1.0</t>
  </si>
  <si>
    <t>GP2 + GP3</t>
  </si>
  <si>
    <t>#6✅ #8✅ #11✅ + TBD</t>
  </si>
  <si>
    <t>TBD</t>
  </si>
  <si>
    <t>BUILDING</t>
  </si>
  <si>
    <t>Field drill support | GP2+GP3 closed | NIST 800-53 scoped | 個資法§27</t>
  </si>
  <si>
    <t>TTX MSEL inject | Auto AAR report | Full GovOps</t>
  </si>
  <si>
    <t>2026-06</t>
  </si>
  <si>
    <t>v2.2.0</t>
  </si>
  <si>
    <t>GP2+GP3+GP4</t>
  </si>
  <si>
    <t>PLANNED</t>
  </si>
  <si>
    <t>First sellable | Full deploy ops | GP4</t>
  </si>
  <si>
    <t>TTX MSEL | Auto AAR</t>
  </si>
  <si>
    <t>2026-Q3</t>
  </si>
  <si>
    <t>v3.0.0</t>
  </si>
  <si>
    <t>GovOps + TTX</t>
  </si>
  <si>
    <t>GP1–GP4</t>
  </si>
  <si>
    <t>GP1 TTX+MSEL+AAR closed | HSEEP/NIMS</t>
  </si>
  <si>
    <t>2026-Q4</t>
  </si>
  <si>
    <t>v3.1.0</t>
  </si>
  <si>
    <t>GP1–GP4+AI</t>
  </si>
  <si>
    <t>Silent Scribe | AI predict layer</t>
  </si>
  <si>
    <t>2027-Q1</t>
  </si>
  <si>
    <t>v3.2.0</t>
  </si>
  <si>
    <t>Flagship + ISO</t>
  </si>
  <si>
    <t>GP1–GP5</t>
  </si>
  <si>
    <t>ISO 27001/CNS 27001 | GP5 real disaster</t>
  </si>
  <si>
    <t>2027-Q2</t>
  </si>
  <si>
    <t>B.  v2.1.0 Execution Sequence (A → B → C → D → E)</t>
  </si>
  <si>
    <t>Seq</t>
  </si>
  <si>
    <t>Group</t>
  </si>
  <si>
    <t>Issue</t>
  </si>
  <si>
    <t>Title</t>
  </si>
  <si>
    <t>Blocks/Depends on</t>
  </si>
  <si>
    <t>Note</t>
  </si>
  <si>
    <t>A</t>
  </si>
  <si>
    <t>Deploy Infra</t>
  </si>
  <si>
    <t>Structured logging + collect_debug.sh</t>
  </si>
  <si>
    <t>None — do first</t>
  </si>
  <si>
    <t>Gate B diagnostics for all subsequent tasks</t>
  </si>
  <si>
    <t>/health liveness endpoint</t>
  </si>
  <si>
    <t>Fresh install check; systemd watchdog</t>
  </si>
  <si>
    <t>B</t>
  </si>
  <si>
    <t>P0 Security</t>
  </si>
  <si>
    <t>#6</t>
  </si>
  <si>
    <t>Pi first-run security</t>
  </si>
  <si>
    <t>PR#7</t>
  </si>
  <si>
    <t>WS pre-auth gate</t>
  </si>
  <si>
    <t>PR#9</t>
  </si>
  <si>
    <t>Trusted Ingest HMAC</t>
  </si>
  <si>
    <t>PR#12</t>
  </si>
  <si>
    <t>Frontend modularise + CSP (CAP-035)</t>
  </si>
  <si>
    <t>After #11 (Option beta)</t>
  </si>
  <si>
    <t>Blocks RBAC</t>
  </si>
  <si>
    <t>4-role RBAC + endpoint gate (CAP-014)</t>
  </si>
  <si>
    <t>After CAP-035</t>
  </si>
  <si>
    <t>Core security</t>
  </si>
  <si>
    <t>WS full security / Encryption / Pi+PWA / DR drill</t>
  </si>
  <si>
    <t>Various</t>
  </si>
  <si>
    <t>Multiple P0s</t>
  </si>
  <si>
    <t>C</t>
  </si>
  <si>
    <t>P1 Hardening</t>
  </si>
  <si>
    <t>Session / rate limit / Pi key / SBOM / step-ca / config / IR plan</t>
  </si>
  <si>
    <t>After P0 all close</t>
  </si>
  <si>
    <t>8 issues</t>
  </si>
  <si>
    <t>D</t>
  </si>
  <si>
    <t>Feature</t>
  </si>
  <si>
    <t>COP redesign (heatmap + cluster + search + replay)</t>
  </si>
  <si>
    <t>After P1 all close</t>
  </si>
  <si>
    <t>E</t>
  </si>
  <si>
    <t>Release Acceptance</t>
  </si>
  <si>
    <t>GP2+GP3 E2E + Fresh install + Multi-Pi + Owner sign-off</t>
  </si>
  <si>
    <t>REQUIRED</t>
  </si>
  <si>
    <t>After D</t>
  </si>
  <si>
    <t>2 weeks before June exercise</t>
  </si>
  <si>
    <t>C.  v2.1.0 Claims (only after Release Acceptance sign-off)</t>
  </si>
  <si>
    <t>Claim</t>
  </si>
  <si>
    <t>Allowed / Forbidden</t>
  </si>
  <si>
    <t>Supports field drill (現場演練) procurement</t>
  </si>
  <si>
    <t>ALLOWED</t>
  </si>
  <si>
    <t>GP2+GP3 closed and Release Acceptance signed off</t>
  </si>
  <si>
    <t>GP2 field report → COP → decision loop</t>
  </si>
  <si>
    <t>End-to-end verified in Seq E</t>
  </si>
  <si>
    <t>GP3 offline → sync loop</t>
  </si>
  <si>
    <t>NIST 800-53 Moderate (scoped, self-declared)</t>
  </si>
  <si>
    <t>After P0+P1 all close</t>
  </si>
  <si>
    <t>Personal Data Act s.27 compliant</t>
  </si>
  <si>
    <t>After encryption + RBAC close</t>
  </si>
  <si>
    <t>Appendix 10 — 12 items Moderate</t>
  </si>
  <si>
    <t>After all P0 close</t>
  </si>
  <si>
    <t>TTX MSEL inject supported</t>
  </si>
  <si>
    <t>FORBIDDEN</t>
  </si>
  <si>
    <t>v3.0.0 scope — NEVER claim for v2.1.0</t>
  </si>
  <si>
    <t>Automatic AAR report generation</t>
  </si>
  <si>
    <t>Full formal exercise (正式演訓/TTX)</t>
  </si>
  <si>
    <t>v2.1.0 = field drill only. Use exact phrase "現場演練"</t>
  </si>
  <si>
    <t>ICS_DMAS Master Capability Matrix</t>
  </si>
  <si>
    <t>功能能力總矩陣：把功能、Golden Path、成熟度、版本 gate、資安/合規與驗收證據收斂為單一總控表。</t>
  </si>
  <si>
    <t>項目</t>
  </si>
  <si>
    <t>內容</t>
  </si>
  <si>
    <t>KPI</t>
  </si>
  <si>
    <t>公式/值</t>
  </si>
  <si>
    <t>目的</t>
  </si>
  <si>
    <t>作為產品、工程、資安、合規、業務與客戶驗收之共用 capability index。</t>
  </si>
  <si>
    <t>Total capabilities</t>
  </si>
  <si>
    <t>主表</t>
  </si>
  <si>
    <t>Capability Matrix：每個 capability 一列，包含 Golden Path、maturity、acceptance、edition gate、security gate、evidence、claim。</t>
  </si>
  <si>
    <t>P0 capabilities</t>
  </si>
  <si>
    <t>Golden Paths</t>
  </si>
  <si>
    <t>GP1 TTX→AAR、GP2 現場回報→COP、GP3 離線同步→AAR、GP4 部署驗收、GP5 真實災害/IR/DR。</t>
  </si>
  <si>
    <t>Internal only rows</t>
  </si>
  <si>
    <t>優先 P0</t>
  </si>
  <si>
    <t>Trusted Ingest、WebSocket Pre-auth Gate、Pi/Field Node Sync、QR Offline Snapshot、TTX Inject、Edition Gate、Claim Guardrail。</t>
  </si>
  <si>
    <t>建議使用</t>
  </si>
  <si>
    <t>用篩選器查看 P0、GP1、Exercise Pro、GovOps、L0/L1、Internal Only 等。</t>
  </si>
  <si>
    <t>Needs Hotfix / Hardening</t>
  </si>
  <si>
    <t>端到端產品主線，用來確認 capability 是否真的串成可演示、可演訓、可驗收的工作流。</t>
  </si>
  <si>
    <t>GP ID</t>
  </si>
  <si>
    <t>Golden Path</t>
  </si>
  <si>
    <t>Primary Use</t>
  </si>
  <si>
    <t>TTX → 決策 → AAR</t>
  </si>
  <si>
    <t>演訓建立、狀況注入、受訓單位回應、指揮決策、事件時間線、AAR 與改善事項。</t>
  </si>
  <si>
    <t>v3.0.0 GovOps+TTX (NOT Exercise Pro — GP1 requires MSEL inject + AAR engine)</t>
  </si>
  <si>
    <t>現場回報 → COP → 任務/決策 → 回報</t>
  </si>
  <si>
    <t>收容、醫療、前進組或 Field Node 回報進入 COP，指揮部決策並追蹤任務回報。</t>
  </si>
  <si>
    <t>斷網 → 離線資料 → 恢復同步 → AAR 可追溯</t>
  </si>
  <si>
    <t>PWA / Pi / QR 在斷網下暫存與恢復同步，衝突處理後保留來源、時間差與採納狀態。</t>
  </si>
  <si>
    <t>Exercise Pro / GovOps / Tactical</t>
  </si>
  <si>
    <t>部署 → 驗收 → 證據包</t>
  </si>
  <si>
    <t>客戶部署、健康檢查、備份還原、測試報告、SBOM、弱掃與驗收文件交付。</t>
  </si>
  <si>
    <t>真實災害輔助 → IR/DR → 稽核保存</t>
  </si>
  <si>
    <t>支援高敏感資料、事件應變、復原演練、不可竄改紀錄與長期稽核保存。</t>
  </si>
  <si>
    <t>GovOps / Tactical / C6</t>
  </si>
  <si>
    <t>Maturity Definitions</t>
  </si>
  <si>
    <t>用 L0–L4 區分『有功能』與『可交付、可稽核、可支援高敏感場景』。</t>
  </si>
  <si>
    <t>Level</t>
  </si>
  <si>
    <t>Name</t>
  </si>
  <si>
    <t>Definition</t>
  </si>
  <si>
    <t>Claim Boundary</t>
  </si>
  <si>
    <t>Not Implemented</t>
  </si>
  <si>
    <t>尚未實作，僅存在於 roadmap / backlog。</t>
  </si>
  <si>
    <t>不可對外宣稱。</t>
  </si>
  <si>
    <t>可演示或 PoC，但不能依賴於正式演訓或真實場景。</t>
  </si>
  <si>
    <t>可在受控 demo 使用，須標示限制。</t>
  </si>
  <si>
    <t>Operational</t>
  </si>
  <si>
    <t>可在受控正式演訓中穩定使用，有基本錯誤處理與操作流程。</t>
  </si>
  <si>
    <t>可作為 Exercise Pro 驗收項。</t>
  </si>
  <si>
    <t>Auditable</t>
  </si>
  <si>
    <t>具備權限、稽核、證據、測試與可追溯性，可支援採購驗收。</t>
  </si>
  <si>
    <t>可作為 GovOps / 標案驗收項。</t>
  </si>
  <si>
    <t>L4</t>
  </si>
  <si>
    <t>Mission-ready</t>
  </si>
  <si>
    <t>可支援真實災害輔助或高敏感場景，含 IR/DR、加密、外部稽核與操作訓練。</t>
  </si>
  <si>
    <t>僅 Tactical / 高階 GovOps 可主張。</t>
  </si>
  <si>
    <t>Edition Gates</t>
  </si>
  <si>
    <t>把 capability 綁到產品版本、可宣稱用途與最低安全/合規條件。</t>
  </si>
  <si>
    <t>Use Case</t>
  </si>
  <si>
    <t>Minimum Conditions</t>
  </si>
  <si>
    <t>Disclosure / Deliverable Level</t>
  </si>
  <si>
    <t>Demo / Community</t>
  </si>
  <si>
    <t>受控展示、假資料、低敏感資料</t>
  </si>
  <si>
    <t>不處理真實個資；安全 baseline 需修掉 current-stage P0。</t>
  </si>
  <si>
    <t>現場演練（field drill）、基本資安</t>
  </si>
  <si>
    <t>需完成 Trusted Ingest (#11)、基本 RBAC (CAP-014)、CSP enforce (CAP-035)、備份還原 (CAP-023)。
不支援 TTX MSEL inject 或自動 AAR report（見 GovOps+TTX）。</t>
  </si>
  <si>
    <t>政府採購、個資、audit、DR、正式驗收</t>
  </si>
  <si>
    <t>需 C1/C2/C3 證據包、PII 控制、audit evidence、IR/DR、SBOM。</t>
  </si>
  <si>
    <t>Customer Deliverable / Procurement</t>
  </si>
  <si>
    <t>Field Node、戰術敏感、高安全部署</t>
  </si>
  <si>
    <t>需裝置憑證、mTLS/WireGuard、Panic Wipe、LUKS、戰術資料治理。</t>
  </si>
  <si>
    <t>Priority → Edition Mapping</t>
  </si>
  <si>
    <t>Blocks Edition</t>
  </si>
  <si>
    <t>Current stage must-fix; minimum prerequisite for any external claim</t>
  </si>
  <si>
    <t>ALL Editions</t>
  </si>
  <si>
    <t>Must complete before Exercise Pro / GovOps</t>
  </si>
  <si>
    <t>Exercise Pro and above</t>
  </si>
  <si>
    <t>GovOps procurement hardening</t>
  </si>
  <si>
    <t>GovOps and above</t>
  </si>
  <si>
    <t>Moat / full compliance</t>
  </si>
  <si>
    <t>Flagship</t>
  </si>
  <si>
    <t>Tactical high-security scenarios</t>
  </si>
  <si>
    <t>Tactical only</t>
  </si>
  <si>
    <t>Acceptance Evidence</t>
  </si>
  <si>
    <t>常見 capability 的驗收證據索引；主表 Evidence Required 欄可連回本頁。</t>
  </si>
  <si>
    <t>Edition / Gate</t>
  </si>
  <si>
    <t>Inject 簽章測試、送達/閱讀/回應紀錄、TTX/real session 隔離測試</t>
  </si>
  <si>
    <t>AAR 匯出、事件來源連結、audit 對照、回放測試</t>
  </si>
  <si>
    <t>AAR / QA</t>
  </si>
  <si>
    <t>E2E 資料流測試、dashboard 截圖、資料來源時間標示</t>
  </si>
  <si>
    <t>離線填報測試、恢復同步測試、採納/退回流程測試</t>
  </si>
  <si>
    <t>PWA / QA</t>
  </si>
  <si>
    <t>Trusted Ingest</t>
  </si>
  <si>
    <t>無簽章拒收、重放拒收、body tamper 拒收、key rotation 測試</t>
  </si>
  <si>
    <t>WebSocket Gate</t>
  </si>
  <si>
    <t>未 auth delta/sync_push 拒收、session_restore 不接受 client 自報 role</t>
  </si>
  <si>
    <t>RBAC</t>
  </si>
  <si>
    <t>Endpoint role matrix、API regression tests、session revoke 測試</t>
  </si>
  <si>
    <t>Hash chain 驗證、append-only trigger、reset 不刪 audit 測試</t>
  </si>
  <si>
    <t>Online backup、checksum verify、restore drill report、retention 記錄</t>
  </si>
  <si>
    <t>Coverage、SAST/SCA、SBOM、known issues、acceptance matrix</t>
  </si>
  <si>
    <t>Release / PM</t>
  </si>
  <si>
    <t>Issue → Capability → GAP Traceability Index</t>
  </si>
  <si>
    <t>CAP affected</t>
  </si>
  <si>
    <t>GAP resolved</t>
  </si>
  <si>
    <t>PR#</t>
  </si>
  <si>
    <t>Status / Date</t>
  </si>
  <si>
    <t>B-P0</t>
  </si>
  <si>
    <t>CAP-010 (FieldSync)</t>
  </si>
  <si>
    <t>GAP-AUTH-PI-01</t>
  </si>
  <si>
    <t>v0.13.0+v2.1.0</t>
  </si>
  <si>
    <t>#7</t>
  </si>
  <si>
    <t>CLOSED 2026-04-26</t>
  </si>
  <si>
    <t>CAP-013 (WSAuth), CAP-010</t>
  </si>
  <si>
    <t>GAP-AUTH-02, GAP-SYNC-17</t>
  </si>
  <si>
    <t>#9</t>
  </si>
  <si>
    <t>CAP-012 (TrustedIngest) — Partial Hardened L1; CAP-010 — evidence appended</t>
  </si>
  <si>
    <t>GAP-SYNC-05</t>
  </si>
  <si>
    <t>#12 (commit 6bda2dc + 5e855c6)</t>
  </si>
  <si>
    <t>A-Deploy</t>
  </si>
  <si>
    <t>CAP-036 (Operational Logging)</t>
  </si>
  <si>
    <t>GAP-DEPLOY-18c, GAP-AUDIT-10b</t>
  </si>
  <si>
    <t>CAP-024 (Deployment/Health) — partial L1 (/health only; full L2 in v2.2.0)</t>
  </si>
  <si>
    <t>GAP-DEPLOY-07c</t>
  </si>
  <si>
    <t>Frontend modularise + CSP</t>
  </si>
  <si>
    <t>CAP-035 (CommanderFrontend)</t>
  </si>
  <si>
    <t>GAP-AUTH-20b, GAP-AUTH-26</t>
  </si>
  <si>
    <t>4-role RBAC + endpoint gate</t>
  </si>
  <si>
    <t>CAP-014 (RBAC/Endpoint Gate)</t>
  </si>
  <si>
    <t>GAP-AUTH-01</t>
  </si>
  <si>
    <t>Release Acceptance (GP2+GP3 E2E)</t>
  </si>
  <si>
    <t>E-Accept</t>
  </si>
  <si>
    <t>All GP2/GP3 CAPs</t>
  </si>
  <si>
    <t>PLANNED (last)</t>
  </si>
  <si>
    <r>
      <t xml:space="preserve">Partial Hardened — </t>
    </r>
    <r>
      <rPr>
        <sz val="16"/>
        <rFont val="微軟正黑體"/>
        <family val="2"/>
        <charset val="136"/>
      </rPr>
      <t>有</t>
    </r>
    <r>
      <rPr>
        <sz val="16"/>
        <rFont val="Carlito"/>
        <family val="2"/>
      </rPr>
      <t xml:space="preserve"> PR + commit </t>
    </r>
    <phoneticPr fontId="20" type="noConversion"/>
  </si>
  <si>
    <t>Partial / In Progress — 開始實作但未 hardened</t>
  </si>
  <si>
    <t>Planned — 設計已批准，等 Issue 建立</t>
  </si>
  <si>
    <t>Not Started —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</si>
</sst>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name val="Carlito"/>
    </font>
    <font>
      <sz val="10"/>
      <color rgb="FF4B5563"/>
      <name val="Carlito"/>
    </font>
    <font>
      <b/>
      <sz val="11"/>
      <color rgb="FF1F2937"/>
      <name val="Carlito"/>
    </font>
    <font>
      <sz val="10"/>
      <color rgb="FF374151"/>
      <name val="Carlito"/>
    </font>
    <font>
      <sz val="10"/>
      <color rgb="FF111827"/>
      <name val="Carlito"/>
    </font>
    <font>
      <sz val="10"/>
      <name val="Aptos"/>
    </font>
    <font>
      <b/>
      <sz val="16"/>
      <color rgb="FF1F2937"/>
      <name val="Aptos"/>
    </font>
    <font>
      <sz val="11"/>
      <name val="Carlito"/>
    </font>
    <font>
      <sz val="16"/>
      <name val="Carlito"/>
      <family val="2"/>
    </font>
    <font>
      <sz val="16"/>
      <name val="Aptos"/>
      <family val="2"/>
    </font>
    <font>
      <sz val="16"/>
      <color rgb="FF4B5563"/>
      <name val="Carlito"/>
      <family val="2"/>
    </font>
    <font>
      <sz val="16"/>
      <color rgb="FF111827"/>
      <name val="Carlito"/>
      <family val="2"/>
    </font>
    <font>
      <b/>
      <sz val="11"/>
      <color rgb="FF1F3A5F"/>
      <name val="Carlito"/>
      <family val="2"/>
    </font>
    <font>
      <b/>
      <sz val="10"/>
      <color rgb="FFFFFFFF"/>
      <name val="Carlito"/>
      <family val="2"/>
    </font>
    <font>
      <b/>
      <sz val="10"/>
      <name val="Carlito"/>
      <family val="2"/>
    </font>
    <font>
      <sz val="10"/>
      <name val="Carlito"/>
      <family val="2"/>
    </font>
    <font>
      <b/>
      <sz val="14"/>
      <color rgb="FF1F3A5F"/>
      <name val="Carlito"/>
      <family val="2"/>
    </font>
    <font>
      <i/>
      <sz val="9"/>
      <color rgb="FF666666"/>
      <name val="Carlito"/>
      <family val="2"/>
    </font>
    <font>
      <b/>
      <sz val="13"/>
      <color rgb="FF1F3A5F"/>
      <name val="Carlito"/>
      <family val="2"/>
    </font>
    <font>
      <sz val="10"/>
      <color rgb="FF999999"/>
      <name val="Carlito"/>
      <family val="2"/>
    </font>
    <font>
      <sz val="9"/>
      <name val="細明體"/>
      <family val="3"/>
      <charset val="136"/>
    </font>
    <font>
      <sz val="16"/>
      <name val="微軟正黑體"/>
      <family val="2"/>
      <charset val="136"/>
    </font>
    <font>
      <b/>
      <sz val="16"/>
      <name val="Carlito"/>
      <family val="2"/>
    </font>
  </fonts>
  <fills count="13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EDE7F6"/>
      </patternFill>
    </fill>
    <fill>
      <patternFill patternType="solid">
        <fgColor rgb="FFFFEBEE"/>
      </patternFill>
    </fill>
    <fill>
      <patternFill patternType="solid">
        <fgColor rgb="FFFFF9C4"/>
      </patternFill>
    </fill>
    <fill>
      <patternFill patternType="solid">
        <fgColor rgb="FFFAFAFA"/>
      </patternFill>
    </fill>
    <fill>
      <patternFill patternType="solid">
        <fgColor rgb="FFE3F2FD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8CB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1"/>
    <xf numFmtId="0" fontId="7" fillId="0" borderId="1"/>
  </cellStyleXfs>
  <cellXfs count="54">
    <xf numFmtId="0" fontId="0" fillId="0" borderId="0" xfId="0" applyBorder="1"/>
    <xf numFmtId="0" fontId="2" fillId="0" borderId="2" xfId="1" applyFont="1" applyBorder="1"/>
    <xf numFmtId="0" fontId="3" fillId="0" borderId="0" xfId="1" applyFont="1" applyBorder="1"/>
    <xf numFmtId="0" fontId="4" fillId="0" borderId="0" xfId="1" applyFont="1" applyBorder="1"/>
    <xf numFmtId="0" fontId="5" fillId="0" borderId="0" xfId="1" applyFont="1" applyBorder="1"/>
    <xf numFmtId="0" fontId="9" fillId="0" borderId="0" xfId="1" applyFont="1" applyBorder="1"/>
    <xf numFmtId="0" fontId="8" fillId="0" borderId="0" xfId="0" applyFont="1" applyBorder="1"/>
    <xf numFmtId="0" fontId="12" fillId="0" borderId="0" xfId="0" applyFont="1" applyBorder="1"/>
    <xf numFmtId="0" fontId="13" fillId="2" borderId="3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5" fillId="6" borderId="3" xfId="0" applyFont="1" applyFill="1" applyBorder="1" applyAlignment="1">
      <alignment horizontal="left" vertical="top" wrapText="1"/>
    </xf>
    <xf numFmtId="0" fontId="15" fillId="7" borderId="3" xfId="0" applyFont="1" applyFill="1" applyBorder="1" applyAlignment="1">
      <alignment horizontal="left" vertical="top" wrapText="1"/>
    </xf>
    <xf numFmtId="0" fontId="15" fillId="8" borderId="3" xfId="0" applyFont="1" applyFill="1" applyBorder="1" applyAlignment="1">
      <alignment horizontal="left" vertical="top" wrapText="1"/>
    </xf>
    <xf numFmtId="0" fontId="14" fillId="4" borderId="3" xfId="0" applyFont="1" applyFill="1" applyBorder="1" applyAlignment="1">
      <alignment horizontal="center" vertical="top" wrapText="1"/>
    </xf>
    <xf numFmtId="0" fontId="15" fillId="9" borderId="3" xfId="0" applyFont="1" applyFill="1" applyBorder="1" applyAlignment="1">
      <alignment horizontal="left" vertical="top" wrapText="1"/>
    </xf>
    <xf numFmtId="0" fontId="14" fillId="9" borderId="3" xfId="0" applyFont="1" applyFill="1" applyBorder="1" applyAlignment="1">
      <alignment horizontal="center" vertical="top" wrapText="1"/>
    </xf>
    <xf numFmtId="0" fontId="14" fillId="3" borderId="3" xfId="0" applyFont="1" applyFill="1" applyBorder="1" applyAlignment="1">
      <alignment horizontal="left" vertical="top" wrapText="1"/>
    </xf>
    <xf numFmtId="0" fontId="15" fillId="3" borderId="3" xfId="0" applyFont="1" applyFill="1" applyBorder="1" applyAlignment="1">
      <alignment horizontal="left" vertical="top" wrapText="1"/>
    </xf>
    <xf numFmtId="0" fontId="13" fillId="2" borderId="3" xfId="1" applyFont="1" applyFill="1" applyBorder="1" applyAlignment="1">
      <alignment horizontal="center" vertical="center" wrapText="1"/>
    </xf>
    <xf numFmtId="0" fontId="11" fillId="10" borderId="0" xfId="1" applyFont="1" applyFill="1" applyBorder="1"/>
    <xf numFmtId="0" fontId="0" fillId="10" borderId="0" xfId="0" applyFill="1" applyBorder="1"/>
    <xf numFmtId="0" fontId="19" fillId="10" borderId="3" xfId="0" applyFont="1" applyFill="1" applyBorder="1" applyAlignment="1">
      <alignment horizontal="center" vertical="top" wrapText="1"/>
    </xf>
    <xf numFmtId="0" fontId="11" fillId="11" borderId="0" xfId="1" applyFont="1" applyFill="1" applyBorder="1"/>
    <xf numFmtId="0" fontId="0" fillId="11" borderId="0" xfId="0" applyFill="1" applyBorder="1"/>
    <xf numFmtId="0" fontId="19" fillId="11" borderId="3" xfId="0" applyFont="1" applyFill="1" applyBorder="1" applyAlignment="1">
      <alignment horizontal="center" vertical="top" wrapText="1"/>
    </xf>
    <xf numFmtId="0" fontId="11" fillId="4" borderId="0" xfId="1" applyFont="1" applyFill="1" applyBorder="1"/>
    <xf numFmtId="0" fontId="0" fillId="4" borderId="0" xfId="0" applyFill="1" applyBorder="1"/>
    <xf numFmtId="0" fontId="14" fillId="10" borderId="3" xfId="0" applyFont="1" applyFill="1" applyBorder="1" applyAlignment="1">
      <alignment horizontal="center" vertical="top" wrapText="1"/>
    </xf>
    <xf numFmtId="0" fontId="14" fillId="11" borderId="3" xfId="0" applyFont="1" applyFill="1" applyBorder="1" applyAlignment="1">
      <alignment horizontal="center" vertical="top" wrapText="1"/>
    </xf>
    <xf numFmtId="0" fontId="0" fillId="12" borderId="0" xfId="0" applyFill="1" applyBorder="1"/>
    <xf numFmtId="0" fontId="14" fillId="12" borderId="3" xfId="0" applyFont="1" applyFill="1" applyBorder="1" applyAlignment="1">
      <alignment horizontal="center" vertical="top" wrapText="1"/>
    </xf>
    <xf numFmtId="0" fontId="0" fillId="12" borderId="3" xfId="0" applyFill="1" applyBorder="1" applyAlignment="1">
      <alignment vertical="top" wrapText="1"/>
    </xf>
    <xf numFmtId="0" fontId="0" fillId="4" borderId="3" xfId="0" applyFill="1" applyBorder="1"/>
    <xf numFmtId="0" fontId="0" fillId="10" borderId="3" xfId="0" applyFill="1" applyBorder="1"/>
    <xf numFmtId="0" fontId="0" fillId="12" borderId="3" xfId="0" applyFill="1" applyBorder="1"/>
    <xf numFmtId="0" fontId="0" fillId="11" borderId="3" xfId="0" applyFill="1" applyBorder="1"/>
    <xf numFmtId="0" fontId="6" fillId="0" borderId="1" xfId="1" applyFont="1"/>
    <xf numFmtId="0" fontId="8" fillId="0" borderId="0" xfId="0" applyFont="1" applyBorder="1"/>
    <xf numFmtId="0" fontId="10" fillId="0" borderId="1" xfId="1" applyFont="1"/>
    <xf numFmtId="0" fontId="17" fillId="0" borderId="0" xfId="0" applyFont="1" applyBorder="1"/>
    <xf numFmtId="0" fontId="0" fillId="0" borderId="0" xfId="0" applyBorder="1"/>
    <xf numFmtId="0" fontId="12" fillId="0" borderId="0" xfId="0" applyFont="1" applyBorder="1"/>
    <xf numFmtId="0" fontId="16" fillId="0" borderId="0" xfId="0" applyFont="1" applyBorder="1" applyAlignment="1">
      <alignment horizontal="left" vertical="center"/>
    </xf>
    <xf numFmtId="0" fontId="1" fillId="0" borderId="1" xfId="1" applyFont="1"/>
    <xf numFmtId="0" fontId="18" fillId="0" borderId="0" xfId="0" applyFont="1" applyBorder="1" applyAlignment="1">
      <alignment horizontal="left" vertical="center"/>
    </xf>
    <xf numFmtId="0" fontId="8" fillId="0" borderId="0" xfId="0" applyFont="1" applyBorder="1" applyAlignment="1"/>
    <xf numFmtId="0" fontId="13" fillId="2" borderId="3" xfId="1" applyFont="1" applyFill="1" applyBorder="1" applyAlignment="1">
      <alignment vertical="center" wrapText="1"/>
    </xf>
    <xf numFmtId="0" fontId="11" fillId="10" borderId="0" xfId="1" applyFont="1" applyFill="1" applyBorder="1" applyAlignment="1"/>
    <xf numFmtId="0" fontId="11" fillId="11" borderId="0" xfId="1" applyFont="1" applyFill="1" applyBorder="1" applyAlignment="1"/>
    <xf numFmtId="0" fontId="11" fillId="4" borderId="0" xfId="1" applyFont="1" applyFill="1" applyBorder="1" applyAlignment="1"/>
    <xf numFmtId="0" fontId="0" fillId="12" borderId="0" xfId="0" applyFill="1" applyBorder="1" applyAlignment="1"/>
    <xf numFmtId="0" fontId="8" fillId="0" borderId="0" xfId="0" applyFont="1" applyBorder="1" applyAlignment="1">
      <alignment horizontal="left"/>
    </xf>
    <xf numFmtId="0" fontId="22" fillId="0" borderId="0" xfId="0" applyFont="1" applyBorder="1"/>
  </cellXfs>
  <cellStyles count="2">
    <cellStyle name="Normal" xfId="1" xr:uid="{00000000-0005-0000-0000-000001000000}"/>
    <cellStyle name="一般" xfId="0" builtinId="0"/>
  </cellStyles>
  <dxfs count="23">
    <dxf>
      <font>
        <strike val="0"/>
        <outline val="0"/>
        <shadow val="0"/>
        <vertAlign val="baseline"/>
        <sz val="16"/>
      </font>
      <alignment horizontal="general" textRotation="0" indent="0" justifyLastLine="0" shrinkToFit="0" readingOrder="0"/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meSummary" displayName="ReadmeSummary" ref="A4:B9">
  <tableColumns count="2">
    <tableColumn id="1" xr3:uid="{00000000-0010-0000-0000-000001000000}" name="項目"/>
    <tableColumn id="2" xr3:uid="{00000000-0010-0000-0000-000002000000}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dmeKpi" displayName="ReadmeKpi" ref="D4:E9">
  <tableColumns count="2">
    <tableColumn id="1" xr3:uid="{00000000-0010-0000-0100-000001000000}" name="KPI"/>
    <tableColumn id="2" xr3:uid="{00000000-0010-0000-0100-000002000000}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abilityMatrix" displayName="CapabilityMatrix" ref="A4:T38" headerRowDxfId="22" dataDxfId="21" totalsRowDxfId="20">
  <autoFilter ref="A4:T38" xr:uid="{00000000-0009-0000-0100-000003000000}"/>
  <tableColumns count="20">
    <tableColumn id="1" xr3:uid="{00000000-0010-0000-0200-000001000000}" name="Capability ID" dataDxfId="19"/>
    <tableColumn id="2" xr3:uid="{00000000-0010-0000-0200-000002000000}" name="Capability" dataDxfId="18"/>
    <tableColumn id="3" xr3:uid="{00000000-0010-0000-0200-000003000000}" name="Capability Group" dataDxfId="0"/>
    <tableColumn id="4" xr3:uid="{00000000-0010-0000-0200-000004000000}" name="Description" dataDxfId="17"/>
    <tableColumn id="5" xr3:uid="{00000000-0010-0000-0200-000005000000}" name="Golden Path(s)" dataDxfId="16"/>
    <tableColumn id="6" xr3:uid="{00000000-0010-0000-0200-000006000000}" name="Primary User(s)" dataDxfId="15"/>
    <tableColumn id="7" xr3:uid="{00000000-0010-0000-0200-000007000000}" name="Current Maturity" dataDxfId="14"/>
    <tableColumn id="8" xr3:uid="{00000000-0010-0000-0200-000008000000}" name="Target Maturity" dataDxfId="13"/>
    <tableColumn id="9" xr3:uid="{00000000-0010-0000-0200-000009000000}" name="Acceptance Criteria" dataDxfId="12"/>
    <tableColumn id="10" xr3:uid="{00000000-0010-0000-0200-00000A000000}" name="Edition Gate" dataDxfId="11"/>
    <tableColumn id="11" xr3:uid="{00000000-0010-0000-0200-00000B000000}" name="Security Gate / Dependency" dataDxfId="10"/>
    <tableColumn id="12" xr3:uid="{00000000-0010-0000-0200-00000C000000}" name="Compliance Mapping" dataDxfId="9"/>
    <tableColumn id="13" xr3:uid="{00000000-0010-0000-0200-00000D000000}" name="Data Sensitivity" dataDxfId="8"/>
    <tableColumn id="14" xr3:uid="{00000000-0010-0000-0200-00000E000000}" name="Evidence Required" dataDxfId="7"/>
    <tableColumn id="15" xr3:uid="{00000000-0010-0000-0200-00000F000000}" name="External Claim" dataDxfId="6"/>
    <tableColumn id="16" xr3:uid="{00000000-0010-0000-0200-000010000000}" name="Status" dataDxfId="5"/>
    <tableColumn id="17" xr3:uid="{00000000-0010-0000-0200-000011000000}" name="Next Action" dataDxfId="4"/>
    <tableColumn id="18" xr3:uid="{00000000-0010-0000-0200-000012000000}" name="Owner" dataDxfId="3"/>
    <tableColumn id="19" xr3:uid="{00000000-0010-0000-0200-000013000000}" name="Priority" dataDxfId="2"/>
    <tableColumn id="20" xr3:uid="{00000000-0010-0000-0200-000014000000}" name="Disclosur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oldenPaths" displayName="GoldenPaths" ref="A4:D9">
  <tableColumns count="4">
    <tableColumn id="1" xr3:uid="{00000000-0010-0000-0300-000001000000}" name="GP ID"/>
    <tableColumn id="2" xr3:uid="{00000000-0010-0000-0300-000002000000}" name="Golden Path"/>
    <tableColumn id="3" xr3:uid="{00000000-0010-0000-0300-000003000000}" name="Description"/>
    <tableColumn id="4" xr3:uid="{00000000-0010-0000-0300-000004000000}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turityDefinitions" displayName="MaturityDefinitions" ref="A4:D9">
  <tableColumns count="4">
    <tableColumn id="1" xr3:uid="{00000000-0010-0000-0400-000001000000}" name="Level"/>
    <tableColumn id="2" xr3:uid="{00000000-0010-0000-0400-000002000000}" name="Name"/>
    <tableColumn id="3" xr3:uid="{00000000-0010-0000-0400-000003000000}" name="Definition"/>
    <tableColumn id="4" xr3:uid="{00000000-0010-0000-0400-000004000000}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ditionGates" displayName="EditionGates" ref="A4:D8">
  <tableColumns count="4">
    <tableColumn id="1" xr3:uid="{00000000-0010-0000-0500-000001000000}" name="Edition"/>
    <tableColumn id="2" xr3:uid="{00000000-0010-0000-0500-000002000000}" name="Use Case"/>
    <tableColumn id="3" xr3:uid="{00000000-0010-0000-0500-000003000000}" name="Minimum Conditions"/>
    <tableColumn id="4" xr3:uid="{00000000-0010-0000-0500-000004000000}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ceptanceEvidence" displayName="AcceptanceEvidence" ref="A4:D14">
  <tableColumns count="4">
    <tableColumn id="1" xr3:uid="{00000000-0010-0000-0600-000001000000}" name="Capability"/>
    <tableColumn id="2" xr3:uid="{00000000-0010-0000-0600-000002000000}" name="Evidence Required"/>
    <tableColumn id="3" xr3:uid="{00000000-0010-0000-0600-000003000000}" name="Edition / Gate"/>
    <tableColumn id="4" xr3:uid="{00000000-0010-0000-0600-000004000000}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workbookViewId="0">
      <pane ySplit="5" topLeftCell="A6" activePane="bottomLeft" state="frozen"/>
      <selection pane="bottomLeft"/>
    </sheetView>
  </sheetViews>
  <sheetFormatPr defaultRowHeight="14.4" x14ac:dyDescent="0.3"/>
  <cols>
    <col min="1" max="1" width="8" customWidth="1"/>
    <col min="2" max="2" width="18" customWidth="1"/>
    <col min="3" max="3" width="12" customWidth="1"/>
    <col min="4" max="4" width="42" customWidth="1"/>
    <col min="5" max="5" width="10" customWidth="1"/>
    <col min="6" max="6" width="14" customWidth="1"/>
    <col min="7" max="7" width="40" customWidth="1"/>
    <col min="8" max="8" width="30" customWidth="1"/>
    <col min="9" max="9" width="12" customWidth="1"/>
  </cols>
  <sheetData>
    <row r="1" spans="1:9" ht="24" customHeight="1" x14ac:dyDescent="0.3">
      <c r="A1" s="43" t="s">
        <v>509</v>
      </c>
      <c r="B1" s="41"/>
      <c r="C1" s="41"/>
      <c r="D1" s="41"/>
      <c r="E1" s="41"/>
      <c r="F1" s="41"/>
      <c r="G1" s="41"/>
      <c r="H1" s="41"/>
      <c r="I1" s="41"/>
    </row>
    <row r="2" spans="1:9" ht="13.95" customHeight="1" x14ac:dyDescent="0.3">
      <c r="A2" s="40" t="s">
        <v>510</v>
      </c>
      <c r="B2" s="41"/>
      <c r="C2" s="41"/>
      <c r="D2" s="41"/>
      <c r="E2" s="41"/>
      <c r="F2" s="41"/>
      <c r="G2" s="41"/>
      <c r="H2" s="41"/>
      <c r="I2" s="41"/>
    </row>
    <row r="3" spans="1:9" ht="7.95" customHeight="1" x14ac:dyDescent="0.3"/>
    <row r="4" spans="1:9" ht="18" customHeight="1" x14ac:dyDescent="0.3">
      <c r="A4" s="42" t="s">
        <v>511</v>
      </c>
      <c r="B4" s="41"/>
      <c r="C4" s="41"/>
      <c r="D4" s="41"/>
      <c r="E4" s="41"/>
      <c r="F4" s="41"/>
      <c r="G4" s="41"/>
      <c r="H4" s="41"/>
      <c r="I4" s="41"/>
    </row>
    <row r="5" spans="1:9" ht="28.05" customHeight="1" x14ac:dyDescent="0.3">
      <c r="A5" s="8" t="s">
        <v>512</v>
      </c>
      <c r="B5" s="8" t="s">
        <v>513</v>
      </c>
      <c r="C5" s="8" t="s">
        <v>514</v>
      </c>
      <c r="D5" s="8" t="s">
        <v>515</v>
      </c>
      <c r="E5" s="8" t="s">
        <v>516</v>
      </c>
      <c r="F5" s="8" t="s">
        <v>17</v>
      </c>
      <c r="G5" s="8" t="s">
        <v>517</v>
      </c>
      <c r="H5" s="8" t="s">
        <v>518</v>
      </c>
      <c r="I5" s="8" t="s">
        <v>519</v>
      </c>
    </row>
    <row r="6" spans="1:9" ht="36" customHeight="1" x14ac:dyDescent="0.3">
      <c r="A6" s="9" t="s">
        <v>520</v>
      </c>
      <c r="B6" s="9" t="s">
        <v>521</v>
      </c>
      <c r="C6" s="9" t="s">
        <v>43</v>
      </c>
      <c r="D6" s="9" t="s">
        <v>522</v>
      </c>
      <c r="E6" s="9" t="s">
        <v>43</v>
      </c>
      <c r="F6" s="9" t="s">
        <v>522</v>
      </c>
      <c r="G6" s="9" t="s">
        <v>523</v>
      </c>
      <c r="H6" s="9" t="s">
        <v>43</v>
      </c>
      <c r="I6" s="9" t="s">
        <v>524</v>
      </c>
    </row>
    <row r="7" spans="1:9" ht="36" customHeight="1" x14ac:dyDescent="0.3">
      <c r="A7" s="10" t="s">
        <v>525</v>
      </c>
      <c r="B7" s="10" t="s">
        <v>521</v>
      </c>
      <c r="C7" s="10" t="s">
        <v>43</v>
      </c>
      <c r="D7" s="10" t="s">
        <v>526</v>
      </c>
      <c r="E7" s="10" t="s">
        <v>43</v>
      </c>
      <c r="F7" s="10" t="s">
        <v>527</v>
      </c>
      <c r="G7" s="10" t="s">
        <v>528</v>
      </c>
      <c r="H7" s="10" t="s">
        <v>529</v>
      </c>
      <c r="I7" s="10" t="s">
        <v>530</v>
      </c>
    </row>
    <row r="8" spans="1:9" ht="36" customHeight="1" x14ac:dyDescent="0.3">
      <c r="A8" s="10" t="s">
        <v>531</v>
      </c>
      <c r="B8" s="10" t="s">
        <v>32</v>
      </c>
      <c r="C8" s="10" t="s">
        <v>532</v>
      </c>
      <c r="D8" s="10" t="s">
        <v>533</v>
      </c>
      <c r="E8" s="10" t="s">
        <v>534</v>
      </c>
      <c r="F8" s="10" t="s">
        <v>535</v>
      </c>
      <c r="G8" s="10" t="s">
        <v>536</v>
      </c>
      <c r="H8" s="10" t="s">
        <v>537</v>
      </c>
      <c r="I8" s="10" t="s">
        <v>538</v>
      </c>
    </row>
    <row r="9" spans="1:9" ht="36" customHeight="1" x14ac:dyDescent="0.3">
      <c r="A9" s="11" t="s">
        <v>539</v>
      </c>
      <c r="B9" s="11" t="s">
        <v>105</v>
      </c>
      <c r="C9" s="11" t="s">
        <v>540</v>
      </c>
      <c r="D9" s="11" t="s">
        <v>43</v>
      </c>
      <c r="E9" s="11" t="s">
        <v>534</v>
      </c>
      <c r="F9" s="11" t="s">
        <v>541</v>
      </c>
      <c r="G9" s="11" t="s">
        <v>542</v>
      </c>
      <c r="H9" s="11" t="s">
        <v>543</v>
      </c>
      <c r="I9" s="11" t="s">
        <v>544</v>
      </c>
    </row>
    <row r="10" spans="1:9" ht="36" customHeight="1" x14ac:dyDescent="0.3">
      <c r="A10" s="11" t="s">
        <v>545</v>
      </c>
      <c r="B10" s="11" t="s">
        <v>546</v>
      </c>
      <c r="C10" s="11" t="s">
        <v>547</v>
      </c>
      <c r="D10" s="11" t="s">
        <v>43</v>
      </c>
      <c r="E10" s="11" t="s">
        <v>43</v>
      </c>
      <c r="F10" s="11" t="s">
        <v>541</v>
      </c>
      <c r="G10" s="11" t="s">
        <v>548</v>
      </c>
      <c r="H10" s="11" t="s">
        <v>43</v>
      </c>
      <c r="I10" s="11" t="s">
        <v>549</v>
      </c>
    </row>
    <row r="11" spans="1:9" ht="36" customHeight="1" x14ac:dyDescent="0.3">
      <c r="A11" s="11" t="s">
        <v>550</v>
      </c>
      <c r="B11" s="11" t="s">
        <v>389</v>
      </c>
      <c r="C11" s="11" t="s">
        <v>551</v>
      </c>
      <c r="D11" s="11" t="s">
        <v>43</v>
      </c>
      <c r="E11" s="11" t="s">
        <v>43</v>
      </c>
      <c r="F11" s="11" t="s">
        <v>541</v>
      </c>
      <c r="G11" s="11" t="s">
        <v>552</v>
      </c>
      <c r="H11" s="11" t="s">
        <v>43</v>
      </c>
      <c r="I11" s="11" t="s">
        <v>553</v>
      </c>
    </row>
    <row r="12" spans="1:9" ht="36" customHeight="1" x14ac:dyDescent="0.3">
      <c r="A12" s="11" t="s">
        <v>554</v>
      </c>
      <c r="B12" s="11" t="s">
        <v>555</v>
      </c>
      <c r="C12" s="11" t="s">
        <v>556</v>
      </c>
      <c r="D12" s="11" t="s">
        <v>43</v>
      </c>
      <c r="E12" s="11" t="s">
        <v>43</v>
      </c>
      <c r="F12" s="11" t="s">
        <v>541</v>
      </c>
      <c r="G12" s="11" t="s">
        <v>557</v>
      </c>
      <c r="H12" s="11" t="s">
        <v>43</v>
      </c>
      <c r="I12" s="11" t="s">
        <v>558</v>
      </c>
    </row>
    <row r="13" spans="1:9" ht="7.95" customHeight="1" x14ac:dyDescent="0.3"/>
    <row r="14" spans="1:9" ht="18" customHeight="1" x14ac:dyDescent="0.3">
      <c r="A14" s="42" t="s">
        <v>559</v>
      </c>
      <c r="B14" s="41"/>
      <c r="C14" s="41"/>
      <c r="D14" s="41"/>
      <c r="E14" s="41"/>
      <c r="F14" s="41"/>
      <c r="G14" s="41"/>
      <c r="H14" s="41"/>
      <c r="I14" s="41"/>
    </row>
    <row r="15" spans="1:9" ht="18" customHeight="1" x14ac:dyDescent="0.3">
      <c r="A15" s="8" t="s">
        <v>560</v>
      </c>
      <c r="B15" s="8" t="s">
        <v>561</v>
      </c>
      <c r="C15" s="8" t="s">
        <v>562</v>
      </c>
      <c r="D15" s="8" t="s">
        <v>563</v>
      </c>
      <c r="E15" s="8" t="s">
        <v>20</v>
      </c>
      <c r="F15" s="8" t="s">
        <v>17</v>
      </c>
      <c r="G15" s="8" t="s">
        <v>564</v>
      </c>
      <c r="H15" s="8" t="s">
        <v>565</v>
      </c>
    </row>
    <row r="16" spans="1:9" ht="28.05" customHeight="1" x14ac:dyDescent="0.3">
      <c r="A16" s="12" t="s">
        <v>566</v>
      </c>
      <c r="B16" s="12" t="s">
        <v>567</v>
      </c>
      <c r="C16" s="12" t="s">
        <v>534</v>
      </c>
      <c r="D16" s="12" t="s">
        <v>568</v>
      </c>
      <c r="E16" s="12" t="s">
        <v>58</v>
      </c>
      <c r="F16" s="12" t="s">
        <v>541</v>
      </c>
      <c r="G16" s="12" t="s">
        <v>569</v>
      </c>
      <c r="H16" s="12" t="s">
        <v>570</v>
      </c>
    </row>
    <row r="17" spans="1:9" ht="28.05" customHeight="1" x14ac:dyDescent="0.3">
      <c r="A17" s="12" t="s">
        <v>566</v>
      </c>
      <c r="B17" s="12" t="s">
        <v>567</v>
      </c>
      <c r="C17" s="12" t="s">
        <v>534</v>
      </c>
      <c r="D17" s="12" t="s">
        <v>571</v>
      </c>
      <c r="E17" s="12" t="s">
        <v>41</v>
      </c>
      <c r="F17" s="12" t="s">
        <v>541</v>
      </c>
      <c r="G17" s="12" t="s">
        <v>569</v>
      </c>
      <c r="H17" s="12" t="s">
        <v>572</v>
      </c>
    </row>
    <row r="18" spans="1:9" ht="28.05" customHeight="1" x14ac:dyDescent="0.3">
      <c r="A18" s="9" t="s">
        <v>573</v>
      </c>
      <c r="B18" s="9" t="s">
        <v>574</v>
      </c>
      <c r="C18" s="9" t="s">
        <v>575</v>
      </c>
      <c r="D18" s="9" t="s">
        <v>576</v>
      </c>
      <c r="E18" s="9" t="s">
        <v>58</v>
      </c>
      <c r="F18" s="9" t="s">
        <v>522</v>
      </c>
      <c r="G18" s="9" t="s">
        <v>43</v>
      </c>
      <c r="H18" s="9" t="s">
        <v>577</v>
      </c>
    </row>
    <row r="19" spans="1:9" ht="28.05" customHeight="1" x14ac:dyDescent="0.3">
      <c r="A19" s="9" t="s">
        <v>573</v>
      </c>
      <c r="B19" s="9" t="s">
        <v>574</v>
      </c>
      <c r="C19" s="9" t="s">
        <v>205</v>
      </c>
      <c r="D19" s="9" t="s">
        <v>578</v>
      </c>
      <c r="E19" s="9" t="s">
        <v>58</v>
      </c>
      <c r="F19" s="9" t="s">
        <v>522</v>
      </c>
      <c r="G19" s="9" t="s">
        <v>43</v>
      </c>
      <c r="H19" s="9" t="s">
        <v>579</v>
      </c>
    </row>
    <row r="20" spans="1:9" ht="28.05" customHeight="1" x14ac:dyDescent="0.3">
      <c r="A20" s="10" t="s">
        <v>573</v>
      </c>
      <c r="B20" s="10" t="s">
        <v>574</v>
      </c>
      <c r="C20" s="10" t="s">
        <v>193</v>
      </c>
      <c r="D20" s="10" t="s">
        <v>580</v>
      </c>
      <c r="E20" s="10" t="s">
        <v>58</v>
      </c>
      <c r="F20" s="10" t="s">
        <v>527</v>
      </c>
      <c r="G20" s="10" t="s">
        <v>43</v>
      </c>
      <c r="H20" s="10" t="s">
        <v>581</v>
      </c>
    </row>
    <row r="21" spans="1:9" ht="28.05" customHeight="1" x14ac:dyDescent="0.3">
      <c r="A21" s="11" t="s">
        <v>573</v>
      </c>
      <c r="B21" s="11" t="s">
        <v>574</v>
      </c>
      <c r="C21" s="11" t="s">
        <v>534</v>
      </c>
      <c r="D21" s="11" t="s">
        <v>582</v>
      </c>
      <c r="E21" s="11" t="s">
        <v>58</v>
      </c>
      <c r="F21" s="11" t="s">
        <v>541</v>
      </c>
      <c r="G21" s="11" t="s">
        <v>583</v>
      </c>
      <c r="H21" s="11" t="s">
        <v>584</v>
      </c>
    </row>
    <row r="22" spans="1:9" ht="28.05" customHeight="1" x14ac:dyDescent="0.3">
      <c r="A22" s="11" t="s">
        <v>573</v>
      </c>
      <c r="B22" s="11" t="s">
        <v>574</v>
      </c>
      <c r="C22" s="11" t="s">
        <v>534</v>
      </c>
      <c r="D22" s="11" t="s">
        <v>585</v>
      </c>
      <c r="E22" s="11" t="s">
        <v>58</v>
      </c>
      <c r="F22" s="11" t="s">
        <v>541</v>
      </c>
      <c r="G22" s="11" t="s">
        <v>586</v>
      </c>
      <c r="H22" s="11" t="s">
        <v>587</v>
      </c>
    </row>
    <row r="23" spans="1:9" ht="28.05" customHeight="1" x14ac:dyDescent="0.3">
      <c r="A23" s="11" t="s">
        <v>573</v>
      </c>
      <c r="B23" s="11" t="s">
        <v>574</v>
      </c>
      <c r="C23" s="11" t="s">
        <v>534</v>
      </c>
      <c r="D23" s="11" t="s">
        <v>588</v>
      </c>
      <c r="E23" s="11" t="s">
        <v>58</v>
      </c>
      <c r="F23" s="11" t="s">
        <v>541</v>
      </c>
      <c r="G23" s="11" t="s">
        <v>589</v>
      </c>
      <c r="H23" s="11" t="s">
        <v>590</v>
      </c>
    </row>
    <row r="24" spans="1:9" ht="28.05" customHeight="1" x14ac:dyDescent="0.3">
      <c r="A24" s="11" t="s">
        <v>591</v>
      </c>
      <c r="B24" s="11" t="s">
        <v>592</v>
      </c>
      <c r="C24" s="11" t="s">
        <v>534</v>
      </c>
      <c r="D24" s="11" t="s">
        <v>593</v>
      </c>
      <c r="E24" s="11" t="s">
        <v>41</v>
      </c>
      <c r="F24" s="11" t="s">
        <v>541</v>
      </c>
      <c r="G24" s="11" t="s">
        <v>594</v>
      </c>
      <c r="H24" s="11" t="s">
        <v>595</v>
      </c>
    </row>
    <row r="25" spans="1:9" ht="28.05" customHeight="1" x14ac:dyDescent="0.3">
      <c r="A25" s="11" t="s">
        <v>596</v>
      </c>
      <c r="B25" s="11" t="s">
        <v>597</v>
      </c>
      <c r="C25" s="11" t="s">
        <v>534</v>
      </c>
      <c r="D25" s="11" t="s">
        <v>598</v>
      </c>
      <c r="E25" s="11" t="s">
        <v>597</v>
      </c>
      <c r="F25" s="11" t="s">
        <v>541</v>
      </c>
      <c r="G25" s="11" t="s">
        <v>599</v>
      </c>
      <c r="H25" s="11"/>
    </row>
    <row r="26" spans="1:9" ht="28.05" customHeight="1" x14ac:dyDescent="0.3">
      <c r="A26" s="13" t="s">
        <v>600</v>
      </c>
      <c r="B26" s="13" t="s">
        <v>601</v>
      </c>
      <c r="C26" s="13" t="s">
        <v>43</v>
      </c>
      <c r="D26" s="13" t="s">
        <v>602</v>
      </c>
      <c r="E26" s="13" t="s">
        <v>603</v>
      </c>
      <c r="F26" s="13" t="s">
        <v>541</v>
      </c>
      <c r="G26" s="13" t="s">
        <v>604</v>
      </c>
      <c r="H26" s="13" t="s">
        <v>605</v>
      </c>
    </row>
    <row r="27" spans="1:9" ht="7.95" customHeight="1" x14ac:dyDescent="0.3"/>
    <row r="28" spans="1:9" ht="18" customHeight="1" x14ac:dyDescent="0.3">
      <c r="A28" s="42" t="s">
        <v>606</v>
      </c>
      <c r="B28" s="41"/>
      <c r="C28" s="41"/>
      <c r="D28" s="41"/>
      <c r="E28" s="41"/>
      <c r="F28" s="41"/>
      <c r="G28" s="41"/>
      <c r="H28" s="41"/>
      <c r="I28" s="41"/>
    </row>
    <row r="29" spans="1:9" ht="16.05" customHeight="1" x14ac:dyDescent="0.3">
      <c r="A29" s="8" t="s">
        <v>607</v>
      </c>
      <c r="B29" s="8" t="s">
        <v>608</v>
      </c>
      <c r="C29" s="8" t="s">
        <v>565</v>
      </c>
    </row>
    <row r="30" spans="1:9" ht="18" customHeight="1" x14ac:dyDescent="0.3">
      <c r="A30" s="9" t="s">
        <v>609</v>
      </c>
      <c r="B30" s="14" t="s">
        <v>610</v>
      </c>
      <c r="C30" s="9" t="s">
        <v>611</v>
      </c>
    </row>
    <row r="31" spans="1:9" ht="18" customHeight="1" x14ac:dyDescent="0.3">
      <c r="A31" s="9" t="s">
        <v>612</v>
      </c>
      <c r="B31" s="14" t="s">
        <v>610</v>
      </c>
      <c r="C31" s="9" t="s">
        <v>613</v>
      </c>
    </row>
    <row r="32" spans="1:9" ht="18" customHeight="1" x14ac:dyDescent="0.3">
      <c r="A32" s="9" t="s">
        <v>614</v>
      </c>
      <c r="B32" s="14" t="s">
        <v>610</v>
      </c>
      <c r="C32" s="9" t="s">
        <v>613</v>
      </c>
    </row>
    <row r="33" spans="1:3" ht="18" customHeight="1" x14ac:dyDescent="0.3">
      <c r="A33" s="9" t="s">
        <v>615</v>
      </c>
      <c r="B33" s="14" t="s">
        <v>610</v>
      </c>
      <c r="C33" s="9" t="s">
        <v>616</v>
      </c>
    </row>
    <row r="34" spans="1:3" ht="18" customHeight="1" x14ac:dyDescent="0.3">
      <c r="A34" s="9" t="s">
        <v>617</v>
      </c>
      <c r="B34" s="14" t="s">
        <v>610</v>
      </c>
      <c r="C34" s="9" t="s">
        <v>618</v>
      </c>
    </row>
    <row r="35" spans="1:3" ht="18" customHeight="1" x14ac:dyDescent="0.3">
      <c r="A35" s="9" t="s">
        <v>619</v>
      </c>
      <c r="B35" s="14" t="s">
        <v>610</v>
      </c>
      <c r="C35" s="9" t="s">
        <v>620</v>
      </c>
    </row>
    <row r="36" spans="1:3" ht="18" customHeight="1" x14ac:dyDescent="0.3">
      <c r="A36" s="15" t="s">
        <v>621</v>
      </c>
      <c r="B36" s="16" t="s">
        <v>622</v>
      </c>
      <c r="C36" s="15" t="s">
        <v>623</v>
      </c>
    </row>
    <row r="37" spans="1:3" ht="18" customHeight="1" x14ac:dyDescent="0.3">
      <c r="A37" s="15" t="s">
        <v>624</v>
      </c>
      <c r="B37" s="16" t="s">
        <v>622</v>
      </c>
      <c r="C37" s="15" t="s">
        <v>623</v>
      </c>
    </row>
    <row r="38" spans="1:3" ht="18" customHeight="1" x14ac:dyDescent="0.3">
      <c r="A38" s="15" t="s">
        <v>625</v>
      </c>
      <c r="B38" s="16" t="s">
        <v>622</v>
      </c>
      <c r="C38" s="15" t="s">
        <v>626</v>
      </c>
    </row>
  </sheetData>
  <mergeCells count="5">
    <mergeCell ref="A2:I2"/>
    <mergeCell ref="A28:I28"/>
    <mergeCell ref="A14:I14"/>
    <mergeCell ref="A1:I1"/>
    <mergeCell ref="A4:I4"/>
  </mergeCells>
  <phoneticPr fontId="2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"/>
  <sheetViews>
    <sheetView zoomScale="210" zoomScaleNormal="210" workbookViewId="0">
      <selection activeCell="E5" sqref="E5"/>
    </sheetView>
  </sheetViews>
  <sheetFormatPr defaultColWidth="8.77734375" defaultRowHeight="14.4" x14ac:dyDescent="0.3"/>
  <cols>
    <col min="1" max="1" width="22" customWidth="1"/>
    <col min="2" max="2" width="88" customWidth="1"/>
    <col min="4" max="4" width="26" customWidth="1"/>
    <col min="5" max="5" width="24" customWidth="1"/>
  </cols>
  <sheetData>
    <row r="1" spans="1:26" ht="28.05" customHeight="1" x14ac:dyDescent="0.4">
      <c r="A1" s="37" t="s">
        <v>627</v>
      </c>
      <c r="B1" s="41"/>
      <c r="C1" s="41"/>
      <c r="D1" s="41"/>
      <c r="E1" s="41"/>
      <c r="F1" s="41"/>
      <c r="G1" s="41"/>
      <c r="H1" s="41"/>
      <c r="I1" s="41"/>
      <c r="J1" s="41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.049999999999997" customHeight="1" x14ac:dyDescent="0.3">
      <c r="A2" s="44" t="s">
        <v>628</v>
      </c>
      <c r="B2" s="41"/>
      <c r="C2" s="41"/>
      <c r="D2" s="41"/>
      <c r="E2" s="41"/>
      <c r="F2" s="41"/>
      <c r="G2" s="41"/>
      <c r="H2" s="41"/>
      <c r="I2" s="41"/>
      <c r="J2" s="41"/>
    </row>
    <row r="4" spans="1:26" ht="15" customHeight="1" x14ac:dyDescent="0.3">
      <c r="A4" s="1" t="s">
        <v>629</v>
      </c>
      <c r="B4" s="1" t="s">
        <v>630</v>
      </c>
      <c r="D4" s="1" t="s">
        <v>631</v>
      </c>
      <c r="E4" s="1" t="s">
        <v>632</v>
      </c>
    </row>
    <row r="5" spans="1:26" x14ac:dyDescent="0.3">
      <c r="A5" s="2" t="s">
        <v>633</v>
      </c>
      <c r="B5" s="2" t="s">
        <v>634</v>
      </c>
      <c r="D5" s="2" t="s">
        <v>635</v>
      </c>
      <c r="E5" s="2">
        <f>COUNTA('Capability Matrix'!A2:A35)</f>
        <v>33</v>
      </c>
    </row>
    <row r="6" spans="1:26" x14ac:dyDescent="0.3">
      <c r="A6" s="2" t="s">
        <v>636</v>
      </c>
      <c r="B6" s="2" t="s">
        <v>637</v>
      </c>
      <c r="D6" s="2" t="s">
        <v>638</v>
      </c>
      <c r="E6" s="2">
        <f>COUNTIF('Capability Matrix'!S2:S35,"P0")</f>
        <v>7</v>
      </c>
    </row>
    <row r="7" spans="1:26" x14ac:dyDescent="0.3">
      <c r="A7" s="2" t="s">
        <v>639</v>
      </c>
      <c r="B7" s="2" t="s">
        <v>640</v>
      </c>
      <c r="D7" s="2" t="s">
        <v>641</v>
      </c>
      <c r="E7" s="2">
        <f>COUNTIF('Capability Matrix'!T2:T35,"Internal Only")</f>
        <v>4</v>
      </c>
    </row>
    <row r="8" spans="1:26" x14ac:dyDescent="0.3">
      <c r="A8" s="2" t="s">
        <v>642</v>
      </c>
      <c r="B8" s="2" t="s">
        <v>643</v>
      </c>
      <c r="D8" s="2" t="s">
        <v>111</v>
      </c>
      <c r="E8" s="2">
        <f>COUNTIF('Capability Matrix'!P2:P35,"Not Started")</f>
        <v>12</v>
      </c>
    </row>
    <row r="9" spans="1:26" x14ac:dyDescent="0.3">
      <c r="A9" s="2" t="s">
        <v>644</v>
      </c>
      <c r="B9" s="2" t="s">
        <v>645</v>
      </c>
      <c r="D9" s="2" t="s">
        <v>646</v>
      </c>
      <c r="E9" s="2">
        <f>COUNTIF('Capability Matrix'!P2:P35,"Needs*")</f>
        <v>0</v>
      </c>
    </row>
  </sheetData>
  <mergeCells count="2">
    <mergeCell ref="A1:J1"/>
    <mergeCell ref="A2:J2"/>
  </mergeCells>
  <phoneticPr fontId="20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6"/>
  <sheetViews>
    <sheetView tabSelected="1" zoomScale="80" zoomScaleNormal="80" workbookViewId="0">
      <pane xSplit="1" ySplit="4" topLeftCell="B40" activePane="bottomRight" state="frozen"/>
      <selection pane="topRight" activeCell="B1" sqref="B1"/>
      <selection pane="bottomLeft" activeCell="A5" sqref="A5"/>
      <selection pane="bottomRight" activeCell="C47" sqref="C47"/>
    </sheetView>
  </sheetViews>
  <sheetFormatPr defaultColWidth="8.77734375" defaultRowHeight="21" x14ac:dyDescent="0.4"/>
  <cols>
    <col min="1" max="1" width="21" style="6" customWidth="1"/>
    <col min="2" max="2" width="27.109375" style="6" customWidth="1"/>
    <col min="3" max="3" width="36.77734375" style="46" customWidth="1"/>
    <col min="4" max="4" width="42" style="6" customWidth="1"/>
    <col min="5" max="5" width="18" style="6" customWidth="1"/>
    <col min="6" max="6" width="22" style="6" customWidth="1"/>
    <col min="7" max="8" width="16" style="6" customWidth="1"/>
    <col min="9" max="9" width="55" style="6" customWidth="1"/>
    <col min="10" max="10" width="29.77734375" style="6" customWidth="1"/>
    <col min="11" max="11" width="57" style="6" customWidth="1"/>
    <col min="12" max="12" width="32" style="6" customWidth="1"/>
    <col min="13" max="13" width="22" style="6" customWidth="1"/>
    <col min="14" max="14" width="45" style="6" customWidth="1"/>
    <col min="15" max="15" width="36" style="6" customWidth="1"/>
    <col min="16" max="16" width="18" style="6" customWidth="1"/>
    <col min="17" max="17" width="44.77734375" style="6" customWidth="1"/>
    <col min="18" max="18" width="22" style="6" customWidth="1"/>
    <col min="19" max="19" width="10" style="6" customWidth="1"/>
    <col min="20" max="20" width="39.77734375" style="6" customWidth="1"/>
    <col min="21" max="21" width="8.77734375" style="6" customWidth="1"/>
    <col min="22" max="26" width="8.77734375" style="6"/>
    <col min="27" max="27" width="16" customWidth="1"/>
    <col min="28" max="16384" width="8.77734375" style="6"/>
  </cols>
  <sheetData>
    <row r="1" spans="1:27" ht="28.05" customHeight="1" x14ac:dyDescent="0.4">
      <c r="A1" s="37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5"/>
      <c r="V1" s="5"/>
      <c r="W1" s="5"/>
      <c r="X1" s="5"/>
      <c r="Y1" s="5"/>
      <c r="Z1" s="5"/>
    </row>
    <row r="2" spans="1:27" ht="34.049999999999997" customHeight="1" x14ac:dyDescent="0.4">
      <c r="A2" s="39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4" spans="1:27" ht="42" customHeight="1" x14ac:dyDescent="0.4">
      <c r="A4" s="19" t="s">
        <v>2</v>
      </c>
      <c r="B4" s="19" t="s">
        <v>3</v>
      </c>
      <c r="C4" s="47" t="s">
        <v>4</v>
      </c>
      <c r="D4" s="19" t="s">
        <v>5</v>
      </c>
      <c r="E4" s="19" t="s">
        <v>6</v>
      </c>
      <c r="F4" s="19" t="s">
        <v>7</v>
      </c>
      <c r="G4" s="19" t="s">
        <v>8</v>
      </c>
      <c r="H4" s="19" t="s">
        <v>9</v>
      </c>
      <c r="I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s="19" t="s">
        <v>19</v>
      </c>
      <c r="S4" s="19" t="s">
        <v>20</v>
      </c>
      <c r="T4" s="19" t="s">
        <v>21</v>
      </c>
      <c r="AA4" s="8" t="s">
        <v>22</v>
      </c>
    </row>
    <row r="5" spans="1:27" ht="70.05" customHeight="1" x14ac:dyDescent="0.4">
      <c r="A5" s="20" t="s">
        <v>23</v>
      </c>
      <c r="B5" s="20" t="s">
        <v>24</v>
      </c>
      <c r="C5" s="48" t="s">
        <v>25</v>
      </c>
      <c r="D5" s="20" t="s">
        <v>26</v>
      </c>
      <c r="E5" s="20" t="s">
        <v>27</v>
      </c>
      <c r="F5" s="20" t="s">
        <v>28</v>
      </c>
      <c r="G5" s="20" t="s">
        <v>29</v>
      </c>
      <c r="H5" s="20" t="s">
        <v>30</v>
      </c>
      <c r="I5" s="20" t="s">
        <v>31</v>
      </c>
      <c r="J5" s="20" t="s">
        <v>32</v>
      </c>
      <c r="K5" s="20" t="s">
        <v>33</v>
      </c>
      <c r="L5" s="20" t="s">
        <v>34</v>
      </c>
      <c r="M5" s="20" t="s">
        <v>35</v>
      </c>
      <c r="N5" s="20" t="s">
        <v>36</v>
      </c>
      <c r="O5" s="20" t="s">
        <v>37</v>
      </c>
      <c r="P5" s="20" t="s">
        <v>38</v>
      </c>
      <c r="Q5" s="20" t="s">
        <v>39</v>
      </c>
      <c r="R5" s="20" t="s">
        <v>40</v>
      </c>
      <c r="S5" s="20" t="s">
        <v>41</v>
      </c>
      <c r="T5" s="20" t="s">
        <v>42</v>
      </c>
      <c r="U5" s="21"/>
      <c r="V5" s="21"/>
      <c r="W5" s="21"/>
      <c r="X5" s="21"/>
      <c r="Y5" s="21"/>
      <c r="Z5" s="21"/>
      <c r="AA5" s="22" t="s">
        <v>43</v>
      </c>
    </row>
    <row r="6" spans="1:27" ht="70.05" customHeight="1" x14ac:dyDescent="0.4">
      <c r="A6" s="20" t="s">
        <v>44</v>
      </c>
      <c r="B6" s="20" t="s">
        <v>45</v>
      </c>
      <c r="C6" s="48" t="s">
        <v>25</v>
      </c>
      <c r="D6" s="20" t="s">
        <v>46</v>
      </c>
      <c r="E6" s="20" t="s">
        <v>27</v>
      </c>
      <c r="F6" s="20" t="s">
        <v>47</v>
      </c>
      <c r="G6" s="20" t="s">
        <v>29</v>
      </c>
      <c r="H6" s="20" t="s">
        <v>48</v>
      </c>
      <c r="I6" s="20" t="s">
        <v>49</v>
      </c>
      <c r="J6" s="20" t="s">
        <v>50</v>
      </c>
      <c r="K6" s="20" t="s">
        <v>51</v>
      </c>
      <c r="L6" s="20" t="s">
        <v>52</v>
      </c>
      <c r="M6" s="20" t="s">
        <v>53</v>
      </c>
      <c r="N6" s="20" t="s">
        <v>54</v>
      </c>
      <c r="O6" s="20" t="s">
        <v>55</v>
      </c>
      <c r="P6" s="20" t="s">
        <v>38</v>
      </c>
      <c r="Q6" s="20" t="s">
        <v>56</v>
      </c>
      <c r="R6" s="20" t="s">
        <v>57</v>
      </c>
      <c r="S6" s="20" t="s">
        <v>58</v>
      </c>
      <c r="T6" s="20" t="s">
        <v>59</v>
      </c>
      <c r="U6" s="21"/>
      <c r="V6" s="21"/>
      <c r="W6" s="21"/>
      <c r="X6" s="21"/>
      <c r="Y6" s="21"/>
      <c r="Z6" s="21"/>
      <c r="AA6" s="22" t="s">
        <v>43</v>
      </c>
    </row>
    <row r="7" spans="1:27" ht="70.05" customHeight="1" x14ac:dyDescent="0.4">
      <c r="A7" s="20" t="s">
        <v>60</v>
      </c>
      <c r="B7" s="20" t="s">
        <v>61</v>
      </c>
      <c r="C7" s="48" t="s">
        <v>25</v>
      </c>
      <c r="D7" s="20" t="s">
        <v>62</v>
      </c>
      <c r="E7" s="20" t="s">
        <v>27</v>
      </c>
      <c r="F7" s="20" t="s">
        <v>28</v>
      </c>
      <c r="G7" s="20" t="s">
        <v>29</v>
      </c>
      <c r="H7" s="20" t="s">
        <v>48</v>
      </c>
      <c r="I7" s="20" t="s">
        <v>63</v>
      </c>
      <c r="J7" s="20" t="s">
        <v>50</v>
      </c>
      <c r="K7" s="20" t="s">
        <v>64</v>
      </c>
      <c r="L7" s="20" t="s">
        <v>65</v>
      </c>
      <c r="M7" s="20" t="s">
        <v>66</v>
      </c>
      <c r="N7" s="20" t="s">
        <v>67</v>
      </c>
      <c r="O7" s="20" t="s">
        <v>68</v>
      </c>
      <c r="P7" s="20" t="s">
        <v>38</v>
      </c>
      <c r="Q7" s="20" t="s">
        <v>69</v>
      </c>
      <c r="R7" s="20" t="s">
        <v>70</v>
      </c>
      <c r="S7" s="20" t="s">
        <v>41</v>
      </c>
      <c r="T7" s="20" t="s">
        <v>42</v>
      </c>
      <c r="U7" s="21"/>
      <c r="V7" s="21"/>
      <c r="W7" s="21"/>
      <c r="X7" s="21"/>
      <c r="Y7" s="21"/>
      <c r="Z7" s="21"/>
      <c r="AA7" s="22" t="s">
        <v>43</v>
      </c>
    </row>
    <row r="8" spans="1:27" ht="70.05" customHeight="1" x14ac:dyDescent="0.4">
      <c r="A8" s="20" t="s">
        <v>71</v>
      </c>
      <c r="B8" s="20" t="s">
        <v>72</v>
      </c>
      <c r="C8" s="48" t="s">
        <v>73</v>
      </c>
      <c r="D8" s="20" t="s">
        <v>74</v>
      </c>
      <c r="E8" s="20" t="s">
        <v>75</v>
      </c>
      <c r="F8" s="20" t="s">
        <v>76</v>
      </c>
      <c r="G8" s="20" t="s">
        <v>29</v>
      </c>
      <c r="H8" s="20" t="s">
        <v>30</v>
      </c>
      <c r="I8" s="20" t="s">
        <v>77</v>
      </c>
      <c r="J8" s="20" t="s">
        <v>32</v>
      </c>
      <c r="K8" s="20" t="s">
        <v>78</v>
      </c>
      <c r="L8" s="20" t="s">
        <v>79</v>
      </c>
      <c r="M8" s="20" t="s">
        <v>80</v>
      </c>
      <c r="N8" s="20" t="s">
        <v>81</v>
      </c>
      <c r="O8" s="20" t="s">
        <v>82</v>
      </c>
      <c r="P8" s="20" t="s">
        <v>38</v>
      </c>
      <c r="Q8" s="20" t="s">
        <v>83</v>
      </c>
      <c r="R8" s="20" t="s">
        <v>84</v>
      </c>
      <c r="S8" s="20" t="s">
        <v>41</v>
      </c>
      <c r="T8" s="20" t="s">
        <v>42</v>
      </c>
      <c r="U8" s="21"/>
      <c r="V8" s="21"/>
      <c r="W8" s="21"/>
      <c r="X8" s="21"/>
      <c r="Y8" s="21"/>
      <c r="Z8" s="21"/>
      <c r="AA8" s="22" t="s">
        <v>43</v>
      </c>
    </row>
    <row r="9" spans="1:27" ht="70.05" customHeight="1" x14ac:dyDescent="0.4">
      <c r="A9" s="20" t="s">
        <v>85</v>
      </c>
      <c r="B9" s="20" t="s">
        <v>86</v>
      </c>
      <c r="C9" s="48" t="s">
        <v>73</v>
      </c>
      <c r="D9" s="20" t="s">
        <v>87</v>
      </c>
      <c r="E9" s="20" t="s">
        <v>88</v>
      </c>
      <c r="F9" s="20" t="s">
        <v>89</v>
      </c>
      <c r="G9" s="20" t="s">
        <v>29</v>
      </c>
      <c r="H9" s="20" t="s">
        <v>48</v>
      </c>
      <c r="I9" s="20" t="s">
        <v>90</v>
      </c>
      <c r="J9" s="20" t="s">
        <v>50</v>
      </c>
      <c r="K9" s="20" t="s">
        <v>91</v>
      </c>
      <c r="L9" s="20" t="s">
        <v>92</v>
      </c>
      <c r="M9" s="20" t="s">
        <v>93</v>
      </c>
      <c r="N9" s="20" t="s">
        <v>94</v>
      </c>
      <c r="O9" s="20" t="s">
        <v>95</v>
      </c>
      <c r="P9" s="20" t="s">
        <v>38</v>
      </c>
      <c r="Q9" s="20" t="s">
        <v>96</v>
      </c>
      <c r="R9" s="20" t="s">
        <v>97</v>
      </c>
      <c r="S9" s="20" t="s">
        <v>41</v>
      </c>
      <c r="T9" s="20" t="s">
        <v>42</v>
      </c>
      <c r="U9" s="21"/>
      <c r="V9" s="21"/>
      <c r="W9" s="21"/>
      <c r="X9" s="21"/>
      <c r="Y9" s="21"/>
      <c r="Z9" s="21"/>
      <c r="AA9" s="22" t="s">
        <v>43</v>
      </c>
    </row>
    <row r="10" spans="1:27" ht="70.05" customHeight="1" x14ac:dyDescent="0.4">
      <c r="A10" s="23" t="s">
        <v>98</v>
      </c>
      <c r="B10" s="23" t="s">
        <v>99</v>
      </c>
      <c r="C10" s="49" t="s">
        <v>100</v>
      </c>
      <c r="D10" s="23" t="s">
        <v>101</v>
      </c>
      <c r="E10" s="23" t="s">
        <v>102</v>
      </c>
      <c r="F10" s="23" t="s">
        <v>76</v>
      </c>
      <c r="G10" s="23" t="s">
        <v>103</v>
      </c>
      <c r="H10" s="23" t="s">
        <v>48</v>
      </c>
      <c r="I10" s="23" t="s">
        <v>104</v>
      </c>
      <c r="J10" s="23" t="s">
        <v>105</v>
      </c>
      <c r="K10" s="23" t="s">
        <v>106</v>
      </c>
      <c r="L10" s="23" t="s">
        <v>107</v>
      </c>
      <c r="M10" s="23" t="s">
        <v>108</v>
      </c>
      <c r="N10" s="23" t="s">
        <v>109</v>
      </c>
      <c r="O10" s="23" t="s">
        <v>110</v>
      </c>
      <c r="P10" s="23" t="s">
        <v>111</v>
      </c>
      <c r="Q10" s="23" t="s">
        <v>112</v>
      </c>
      <c r="R10" s="23" t="s">
        <v>70</v>
      </c>
      <c r="S10" s="23" t="s">
        <v>41</v>
      </c>
      <c r="T10" s="23" t="s">
        <v>59</v>
      </c>
      <c r="U10" s="24"/>
      <c r="V10" s="24"/>
      <c r="W10" s="24"/>
      <c r="X10" s="24"/>
      <c r="Y10" s="24"/>
      <c r="Z10" s="24"/>
      <c r="AA10" s="25" t="s">
        <v>43</v>
      </c>
    </row>
    <row r="11" spans="1:27" ht="70.05" customHeight="1" x14ac:dyDescent="0.4">
      <c r="A11" s="23" t="s">
        <v>113</v>
      </c>
      <c r="B11" s="23" t="s">
        <v>114</v>
      </c>
      <c r="C11" s="49" t="s">
        <v>100</v>
      </c>
      <c r="D11" s="23" t="s">
        <v>115</v>
      </c>
      <c r="E11" s="23" t="s">
        <v>75</v>
      </c>
      <c r="F11" s="23" t="s">
        <v>116</v>
      </c>
      <c r="G11" s="23" t="s">
        <v>103</v>
      </c>
      <c r="H11" s="23" t="s">
        <v>30</v>
      </c>
      <c r="I11" s="23" t="s">
        <v>117</v>
      </c>
      <c r="J11" s="23" t="s">
        <v>50</v>
      </c>
      <c r="K11" s="23" t="s">
        <v>118</v>
      </c>
      <c r="L11" s="23" t="s">
        <v>119</v>
      </c>
      <c r="M11" s="23" t="s">
        <v>66</v>
      </c>
      <c r="N11" s="23" t="s">
        <v>120</v>
      </c>
      <c r="O11" s="23" t="s">
        <v>121</v>
      </c>
      <c r="P11" s="23" t="s">
        <v>111</v>
      </c>
      <c r="Q11" s="23" t="s">
        <v>122</v>
      </c>
      <c r="R11" s="23" t="s">
        <v>70</v>
      </c>
      <c r="S11" s="23" t="s">
        <v>123</v>
      </c>
      <c r="T11" s="23" t="s">
        <v>42</v>
      </c>
      <c r="U11" s="24"/>
      <c r="V11" s="24"/>
      <c r="W11" s="24"/>
      <c r="X11" s="24"/>
      <c r="Y11" s="24"/>
      <c r="Z11" s="24"/>
      <c r="AA11" s="25" t="s">
        <v>43</v>
      </c>
    </row>
    <row r="12" spans="1:27" ht="70.05" customHeight="1" x14ac:dyDescent="0.4">
      <c r="A12" s="20" t="s">
        <v>124</v>
      </c>
      <c r="B12" s="20" t="s">
        <v>125</v>
      </c>
      <c r="C12" s="48" t="s">
        <v>126</v>
      </c>
      <c r="D12" s="20" t="s">
        <v>127</v>
      </c>
      <c r="E12" s="20" t="s">
        <v>128</v>
      </c>
      <c r="F12" s="20" t="s">
        <v>129</v>
      </c>
      <c r="G12" s="20" t="s">
        <v>29</v>
      </c>
      <c r="H12" s="20" t="s">
        <v>30</v>
      </c>
      <c r="I12" s="20" t="s">
        <v>130</v>
      </c>
      <c r="J12" s="20" t="s">
        <v>32</v>
      </c>
      <c r="K12" s="20" t="s">
        <v>131</v>
      </c>
      <c r="L12" s="20" t="s">
        <v>132</v>
      </c>
      <c r="M12" s="20" t="s">
        <v>133</v>
      </c>
      <c r="N12" s="20" t="s">
        <v>134</v>
      </c>
      <c r="O12" s="20" t="s">
        <v>135</v>
      </c>
      <c r="P12" s="20" t="s">
        <v>38</v>
      </c>
      <c r="Q12" s="20" t="s">
        <v>136</v>
      </c>
      <c r="R12" s="20" t="s">
        <v>137</v>
      </c>
      <c r="S12" s="20" t="s">
        <v>41</v>
      </c>
      <c r="T12" s="20" t="s">
        <v>42</v>
      </c>
      <c r="U12" s="21"/>
      <c r="V12" s="21"/>
      <c r="W12" s="21"/>
      <c r="X12" s="21"/>
      <c r="Y12" s="21"/>
      <c r="Z12" s="21"/>
      <c r="AA12" s="22" t="s">
        <v>43</v>
      </c>
    </row>
    <row r="13" spans="1:27" ht="70.05" customHeight="1" x14ac:dyDescent="0.4">
      <c r="A13" s="23" t="s">
        <v>138</v>
      </c>
      <c r="B13" s="23" t="s">
        <v>139</v>
      </c>
      <c r="C13" s="49" t="s">
        <v>140</v>
      </c>
      <c r="D13" s="23" t="s">
        <v>141</v>
      </c>
      <c r="E13" s="23" t="s">
        <v>128</v>
      </c>
      <c r="F13" s="23" t="s">
        <v>142</v>
      </c>
      <c r="G13" s="23" t="s">
        <v>103</v>
      </c>
      <c r="H13" s="23" t="s">
        <v>48</v>
      </c>
      <c r="I13" s="23" t="s">
        <v>143</v>
      </c>
      <c r="J13" s="23" t="s">
        <v>105</v>
      </c>
      <c r="K13" s="23" t="s">
        <v>144</v>
      </c>
      <c r="L13" s="23" t="s">
        <v>145</v>
      </c>
      <c r="M13" s="23" t="s">
        <v>146</v>
      </c>
      <c r="N13" s="23" t="s">
        <v>147</v>
      </c>
      <c r="O13" s="23" t="s">
        <v>148</v>
      </c>
      <c r="P13" s="23" t="s">
        <v>111</v>
      </c>
      <c r="Q13" s="23" t="s">
        <v>149</v>
      </c>
      <c r="R13" s="23" t="s">
        <v>70</v>
      </c>
      <c r="S13" s="23" t="s">
        <v>41</v>
      </c>
      <c r="T13" s="23" t="s">
        <v>59</v>
      </c>
      <c r="U13" s="24"/>
      <c r="V13" s="24"/>
      <c r="W13" s="24"/>
      <c r="X13" s="24"/>
      <c r="Y13" s="24"/>
      <c r="Z13" s="24"/>
      <c r="AA13" s="25" t="s">
        <v>43</v>
      </c>
    </row>
    <row r="14" spans="1:27" ht="70.05" customHeight="1" x14ac:dyDescent="0.4">
      <c r="A14" s="26" t="s">
        <v>150</v>
      </c>
      <c r="B14" s="26" t="s">
        <v>151</v>
      </c>
      <c r="C14" s="50" t="s">
        <v>152</v>
      </c>
      <c r="D14" s="26" t="s">
        <v>153</v>
      </c>
      <c r="E14" s="26" t="s">
        <v>128</v>
      </c>
      <c r="F14" s="26" t="s">
        <v>154</v>
      </c>
      <c r="G14" s="26" t="s">
        <v>29</v>
      </c>
      <c r="H14" s="26" t="s">
        <v>48</v>
      </c>
      <c r="I14" s="26" t="s">
        <v>155</v>
      </c>
      <c r="J14" s="26" t="s">
        <v>156</v>
      </c>
      <c r="K14" s="26" t="s">
        <v>157</v>
      </c>
      <c r="L14" s="26" t="s">
        <v>158</v>
      </c>
      <c r="M14" s="26" t="s">
        <v>159</v>
      </c>
      <c r="N14" s="26" t="s">
        <v>160</v>
      </c>
      <c r="O14" s="26" t="s">
        <v>161</v>
      </c>
      <c r="P14" s="26" t="s">
        <v>162</v>
      </c>
      <c r="Q14" s="26" t="s">
        <v>163</v>
      </c>
      <c r="R14" s="26" t="s">
        <v>164</v>
      </c>
      <c r="S14" s="26" t="s">
        <v>58</v>
      </c>
      <c r="T14" s="26" t="s">
        <v>165</v>
      </c>
      <c r="U14" s="27"/>
      <c r="V14" s="27"/>
      <c r="W14" s="27"/>
      <c r="X14" s="27"/>
      <c r="Y14" s="27"/>
      <c r="Z14" s="27"/>
      <c r="AA14" s="14" t="s">
        <v>166</v>
      </c>
    </row>
    <row r="15" spans="1:27" ht="70.05" customHeight="1" x14ac:dyDescent="0.4">
      <c r="A15" s="20" t="s">
        <v>167</v>
      </c>
      <c r="B15" s="20" t="s">
        <v>168</v>
      </c>
      <c r="C15" s="48" t="s">
        <v>169</v>
      </c>
      <c r="D15" s="20" t="s">
        <v>170</v>
      </c>
      <c r="E15" s="20" t="s">
        <v>171</v>
      </c>
      <c r="F15" s="20" t="s">
        <v>172</v>
      </c>
      <c r="G15" s="20" t="s">
        <v>29</v>
      </c>
      <c r="H15" s="20" t="s">
        <v>48</v>
      </c>
      <c r="I15" s="20" t="s">
        <v>173</v>
      </c>
      <c r="J15" s="20" t="s">
        <v>50</v>
      </c>
      <c r="K15" s="20" t="s">
        <v>174</v>
      </c>
      <c r="L15" s="20" t="s">
        <v>175</v>
      </c>
      <c r="M15" s="20" t="s">
        <v>93</v>
      </c>
      <c r="N15" s="20" t="s">
        <v>176</v>
      </c>
      <c r="O15" s="20" t="s">
        <v>177</v>
      </c>
      <c r="P15" s="20" t="s">
        <v>38</v>
      </c>
      <c r="Q15" s="20" t="s">
        <v>178</v>
      </c>
      <c r="R15" s="20" t="s">
        <v>179</v>
      </c>
      <c r="S15" s="20" t="s">
        <v>58</v>
      </c>
      <c r="T15" s="20" t="s">
        <v>59</v>
      </c>
      <c r="U15" s="21"/>
      <c r="V15" s="21"/>
      <c r="W15" s="21"/>
      <c r="X15" s="21"/>
      <c r="Y15" s="21"/>
      <c r="Z15" s="21"/>
      <c r="AA15" s="28" t="s">
        <v>180</v>
      </c>
    </row>
    <row r="16" spans="1:27" ht="70.05" customHeight="1" x14ac:dyDescent="0.4">
      <c r="A16" s="26" t="s">
        <v>181</v>
      </c>
      <c r="B16" s="26" t="s">
        <v>182</v>
      </c>
      <c r="C16" s="50" t="s">
        <v>183</v>
      </c>
      <c r="D16" s="26" t="s">
        <v>184</v>
      </c>
      <c r="E16" s="26" t="s">
        <v>88</v>
      </c>
      <c r="F16" s="26" t="s">
        <v>185</v>
      </c>
      <c r="G16" s="26" t="s">
        <v>29</v>
      </c>
      <c r="H16" s="26" t="s">
        <v>48</v>
      </c>
      <c r="I16" s="26" t="s">
        <v>186</v>
      </c>
      <c r="J16" s="26" t="s">
        <v>50</v>
      </c>
      <c r="K16" s="26" t="s">
        <v>187</v>
      </c>
      <c r="L16" s="26" t="s">
        <v>188</v>
      </c>
      <c r="M16" s="26" t="s">
        <v>146</v>
      </c>
      <c r="N16" s="26" t="s">
        <v>189</v>
      </c>
      <c r="O16" s="26" t="s">
        <v>190</v>
      </c>
      <c r="P16" s="26" t="s">
        <v>162</v>
      </c>
      <c r="Q16" s="26" t="s">
        <v>191</v>
      </c>
      <c r="R16" s="26" t="s">
        <v>192</v>
      </c>
      <c r="S16" s="26" t="s">
        <v>58</v>
      </c>
      <c r="T16" s="26" t="s">
        <v>165</v>
      </c>
      <c r="U16" s="27"/>
      <c r="V16" s="27"/>
      <c r="W16" s="27"/>
      <c r="X16" s="27"/>
      <c r="Y16" s="27"/>
      <c r="Z16" s="27"/>
      <c r="AA16" s="14" t="s">
        <v>193</v>
      </c>
    </row>
    <row r="17" spans="1:27" ht="70.05" customHeight="1" x14ac:dyDescent="0.4">
      <c r="A17" s="26" t="s">
        <v>194</v>
      </c>
      <c r="B17" s="26" t="s">
        <v>195</v>
      </c>
      <c r="C17" s="50" t="s">
        <v>196</v>
      </c>
      <c r="D17" s="26" t="s">
        <v>197</v>
      </c>
      <c r="E17" s="26" t="s">
        <v>128</v>
      </c>
      <c r="F17" s="26" t="s">
        <v>198</v>
      </c>
      <c r="G17" s="26" t="s">
        <v>103</v>
      </c>
      <c r="H17" s="26" t="s">
        <v>48</v>
      </c>
      <c r="I17" s="26" t="s">
        <v>199</v>
      </c>
      <c r="J17" s="26" t="s">
        <v>50</v>
      </c>
      <c r="K17" s="26" t="s">
        <v>200</v>
      </c>
      <c r="L17" s="26" t="s">
        <v>201</v>
      </c>
      <c r="M17" s="26" t="s">
        <v>146</v>
      </c>
      <c r="N17" s="26" t="s">
        <v>202</v>
      </c>
      <c r="O17" s="26" t="s">
        <v>203</v>
      </c>
      <c r="P17" s="26" t="s">
        <v>162</v>
      </c>
      <c r="Q17" s="26" t="s">
        <v>163</v>
      </c>
      <c r="R17" s="26" t="s">
        <v>204</v>
      </c>
      <c r="S17" s="26" t="s">
        <v>58</v>
      </c>
      <c r="T17" s="26" t="s">
        <v>165</v>
      </c>
      <c r="U17" s="27"/>
      <c r="V17" s="27"/>
      <c r="W17" s="27"/>
      <c r="X17" s="27"/>
      <c r="Y17" s="27"/>
      <c r="Z17" s="27"/>
      <c r="AA17" s="14" t="s">
        <v>205</v>
      </c>
    </row>
    <row r="18" spans="1:27" ht="70.05" customHeight="1" x14ac:dyDescent="0.4">
      <c r="A18" s="20" t="s">
        <v>206</v>
      </c>
      <c r="B18" s="20" t="s">
        <v>207</v>
      </c>
      <c r="C18" s="48" t="s">
        <v>208</v>
      </c>
      <c r="D18" s="20" t="s">
        <v>209</v>
      </c>
      <c r="E18" s="20" t="s">
        <v>210</v>
      </c>
      <c r="F18" s="20" t="s">
        <v>211</v>
      </c>
      <c r="G18" s="20" t="s">
        <v>29</v>
      </c>
      <c r="H18" s="20" t="s">
        <v>48</v>
      </c>
      <c r="I18" s="20" t="s">
        <v>212</v>
      </c>
      <c r="J18" s="20" t="s">
        <v>105</v>
      </c>
      <c r="K18" s="20" t="s">
        <v>213</v>
      </c>
      <c r="L18" s="20" t="s">
        <v>214</v>
      </c>
      <c r="M18" s="20" t="s">
        <v>146</v>
      </c>
      <c r="N18" s="20" t="s">
        <v>215</v>
      </c>
      <c r="O18" s="20" t="s">
        <v>216</v>
      </c>
      <c r="P18" s="20" t="s">
        <v>38</v>
      </c>
      <c r="Q18" s="20" t="s">
        <v>217</v>
      </c>
      <c r="R18" s="20" t="s">
        <v>218</v>
      </c>
      <c r="S18" s="20" t="s">
        <v>41</v>
      </c>
      <c r="T18" s="20" t="s">
        <v>59</v>
      </c>
      <c r="U18" s="21"/>
      <c r="V18" s="21"/>
      <c r="W18" s="21"/>
      <c r="X18" s="21"/>
      <c r="Y18" s="21"/>
      <c r="Z18" s="21"/>
      <c r="AA18" s="28" t="s">
        <v>219</v>
      </c>
    </row>
    <row r="19" spans="1:27" ht="70.05" customHeight="1" x14ac:dyDescent="0.4">
      <c r="A19" s="20" t="s">
        <v>220</v>
      </c>
      <c r="B19" s="20" t="s">
        <v>221</v>
      </c>
      <c r="C19" s="48" t="s">
        <v>222</v>
      </c>
      <c r="D19" s="20" t="s">
        <v>223</v>
      </c>
      <c r="E19" s="20" t="s">
        <v>224</v>
      </c>
      <c r="F19" s="20" t="s">
        <v>225</v>
      </c>
      <c r="G19" s="20" t="s">
        <v>29</v>
      </c>
      <c r="H19" s="20" t="s">
        <v>48</v>
      </c>
      <c r="I19" s="20" t="s">
        <v>226</v>
      </c>
      <c r="J19" s="20" t="s">
        <v>105</v>
      </c>
      <c r="K19" s="20" t="s">
        <v>227</v>
      </c>
      <c r="L19" s="20" t="s">
        <v>228</v>
      </c>
      <c r="M19" s="20" t="s">
        <v>146</v>
      </c>
      <c r="N19" s="20" t="s">
        <v>229</v>
      </c>
      <c r="O19" s="20" t="s">
        <v>230</v>
      </c>
      <c r="P19" s="20" t="s">
        <v>38</v>
      </c>
      <c r="Q19" s="20" t="s">
        <v>231</v>
      </c>
      <c r="R19" s="20" t="s">
        <v>218</v>
      </c>
      <c r="S19" s="20" t="s">
        <v>41</v>
      </c>
      <c r="T19" s="20" t="s">
        <v>59</v>
      </c>
      <c r="U19" s="21"/>
      <c r="V19" s="21"/>
      <c r="W19" s="21"/>
      <c r="X19" s="21"/>
      <c r="Y19" s="21"/>
      <c r="Z19" s="21"/>
      <c r="AA19" s="28" t="s">
        <v>232</v>
      </c>
    </row>
    <row r="20" spans="1:27" ht="70.05" customHeight="1" x14ac:dyDescent="0.4">
      <c r="A20" s="20" t="s">
        <v>233</v>
      </c>
      <c r="B20" s="20" t="s">
        <v>234</v>
      </c>
      <c r="C20" s="48" t="s">
        <v>235</v>
      </c>
      <c r="D20" s="20" t="s">
        <v>236</v>
      </c>
      <c r="E20" s="20" t="s">
        <v>237</v>
      </c>
      <c r="F20" s="20" t="s">
        <v>238</v>
      </c>
      <c r="G20" s="20" t="s">
        <v>29</v>
      </c>
      <c r="H20" s="20" t="s">
        <v>48</v>
      </c>
      <c r="I20" s="20" t="s">
        <v>239</v>
      </c>
      <c r="J20" s="20" t="s">
        <v>50</v>
      </c>
      <c r="K20" s="20" t="s">
        <v>240</v>
      </c>
      <c r="L20" s="20" t="s">
        <v>241</v>
      </c>
      <c r="M20" s="20" t="s">
        <v>93</v>
      </c>
      <c r="N20" s="20" t="s">
        <v>242</v>
      </c>
      <c r="O20" s="20" t="s">
        <v>243</v>
      </c>
      <c r="P20" s="20" t="s">
        <v>38</v>
      </c>
      <c r="Q20" s="20" t="s">
        <v>244</v>
      </c>
      <c r="R20" s="20" t="s">
        <v>245</v>
      </c>
      <c r="S20" s="20" t="s">
        <v>41</v>
      </c>
      <c r="T20" s="20" t="s">
        <v>42</v>
      </c>
      <c r="U20" s="21"/>
      <c r="V20" s="21"/>
      <c r="W20" s="21"/>
      <c r="X20" s="21"/>
      <c r="Y20" s="21"/>
      <c r="Z20" s="21"/>
      <c r="AA20" s="22" t="s">
        <v>43</v>
      </c>
    </row>
    <row r="21" spans="1:27" ht="70.05" customHeight="1" x14ac:dyDescent="0.4">
      <c r="A21" s="23" t="s">
        <v>246</v>
      </c>
      <c r="B21" s="23" t="s">
        <v>247</v>
      </c>
      <c r="C21" s="49" t="s">
        <v>235</v>
      </c>
      <c r="D21" s="23" t="s">
        <v>248</v>
      </c>
      <c r="E21" s="23" t="s">
        <v>27</v>
      </c>
      <c r="F21" s="23" t="s">
        <v>249</v>
      </c>
      <c r="G21" s="23" t="s">
        <v>103</v>
      </c>
      <c r="H21" s="23" t="s">
        <v>30</v>
      </c>
      <c r="I21" s="23" t="s">
        <v>250</v>
      </c>
      <c r="J21" s="23" t="s">
        <v>50</v>
      </c>
      <c r="K21" s="23" t="s">
        <v>251</v>
      </c>
      <c r="L21" s="23" t="s">
        <v>252</v>
      </c>
      <c r="M21" s="23" t="s">
        <v>66</v>
      </c>
      <c r="N21" s="23" t="s">
        <v>253</v>
      </c>
      <c r="O21" s="23" t="s">
        <v>254</v>
      </c>
      <c r="P21" s="23" t="s">
        <v>111</v>
      </c>
      <c r="Q21" s="23" t="s">
        <v>255</v>
      </c>
      <c r="R21" s="23" t="s">
        <v>245</v>
      </c>
      <c r="S21" s="23" t="s">
        <v>123</v>
      </c>
      <c r="T21" s="23" t="s">
        <v>42</v>
      </c>
      <c r="U21" s="24"/>
      <c r="V21" s="24"/>
      <c r="W21" s="24"/>
      <c r="X21" s="24"/>
      <c r="Y21" s="24"/>
      <c r="Z21" s="24"/>
      <c r="AA21" s="25" t="s">
        <v>43</v>
      </c>
    </row>
    <row r="22" spans="1:27" ht="70.05" customHeight="1" x14ac:dyDescent="0.4">
      <c r="A22" s="20" t="s">
        <v>256</v>
      </c>
      <c r="B22" s="20" t="s">
        <v>257</v>
      </c>
      <c r="C22" s="48" t="s">
        <v>258</v>
      </c>
      <c r="D22" s="20" t="s">
        <v>259</v>
      </c>
      <c r="E22" s="20" t="s">
        <v>260</v>
      </c>
      <c r="F22" s="20" t="s">
        <v>261</v>
      </c>
      <c r="G22" s="20" t="s">
        <v>29</v>
      </c>
      <c r="H22" s="20" t="s">
        <v>48</v>
      </c>
      <c r="I22" s="20" t="s">
        <v>262</v>
      </c>
      <c r="J22" s="20" t="s">
        <v>50</v>
      </c>
      <c r="K22" s="20" t="s">
        <v>263</v>
      </c>
      <c r="L22" s="20" t="s">
        <v>264</v>
      </c>
      <c r="M22" s="20" t="s">
        <v>265</v>
      </c>
      <c r="N22" s="20" t="s">
        <v>266</v>
      </c>
      <c r="O22" s="20" t="s">
        <v>267</v>
      </c>
      <c r="P22" s="20" t="s">
        <v>38</v>
      </c>
      <c r="Q22" s="20" t="s">
        <v>268</v>
      </c>
      <c r="R22" s="20" t="s">
        <v>269</v>
      </c>
      <c r="S22" s="20" t="s">
        <v>41</v>
      </c>
      <c r="T22" s="20" t="s">
        <v>270</v>
      </c>
      <c r="U22" s="21"/>
      <c r="V22" s="21"/>
      <c r="W22" s="21"/>
      <c r="X22" s="21"/>
      <c r="Y22" s="21"/>
      <c r="Z22" s="21"/>
      <c r="AA22" s="22" t="s">
        <v>43</v>
      </c>
    </row>
    <row r="23" spans="1:27" ht="70.05" customHeight="1" x14ac:dyDescent="0.4">
      <c r="A23" s="20" t="s">
        <v>271</v>
      </c>
      <c r="B23" s="20" t="s">
        <v>272</v>
      </c>
      <c r="C23" s="48" t="s">
        <v>273</v>
      </c>
      <c r="D23" s="20" t="s">
        <v>274</v>
      </c>
      <c r="E23" s="20" t="s">
        <v>75</v>
      </c>
      <c r="F23" s="20" t="s">
        <v>142</v>
      </c>
      <c r="G23" s="20" t="s">
        <v>29</v>
      </c>
      <c r="H23" s="20" t="s">
        <v>30</v>
      </c>
      <c r="I23" s="20" t="s">
        <v>275</v>
      </c>
      <c r="J23" s="20" t="s">
        <v>32</v>
      </c>
      <c r="K23" s="20" t="s">
        <v>276</v>
      </c>
      <c r="L23" s="20" t="s">
        <v>119</v>
      </c>
      <c r="M23" s="20" t="s">
        <v>66</v>
      </c>
      <c r="N23" s="20" t="s">
        <v>277</v>
      </c>
      <c r="O23" s="20" t="s">
        <v>278</v>
      </c>
      <c r="P23" s="20" t="s">
        <v>38</v>
      </c>
      <c r="Q23" s="20" t="s">
        <v>279</v>
      </c>
      <c r="R23" s="20" t="s">
        <v>70</v>
      </c>
      <c r="S23" s="20" t="s">
        <v>41</v>
      </c>
      <c r="T23" s="20" t="s">
        <v>42</v>
      </c>
      <c r="U23" s="21"/>
      <c r="V23" s="21"/>
      <c r="W23" s="21"/>
      <c r="X23" s="21"/>
      <c r="Y23" s="21"/>
      <c r="Z23" s="21"/>
      <c r="AA23" s="22" t="s">
        <v>43</v>
      </c>
    </row>
    <row r="24" spans="1:27" ht="70.05" customHeight="1" x14ac:dyDescent="0.4">
      <c r="A24" s="23" t="s">
        <v>280</v>
      </c>
      <c r="B24" s="23" t="s">
        <v>281</v>
      </c>
      <c r="C24" s="49" t="s">
        <v>273</v>
      </c>
      <c r="D24" s="23" t="s">
        <v>282</v>
      </c>
      <c r="E24" s="23" t="s">
        <v>75</v>
      </c>
      <c r="F24" s="23" t="s">
        <v>283</v>
      </c>
      <c r="G24" s="23" t="s">
        <v>103</v>
      </c>
      <c r="H24" s="23" t="s">
        <v>48</v>
      </c>
      <c r="I24" s="23" t="s">
        <v>284</v>
      </c>
      <c r="J24" s="23" t="s">
        <v>105</v>
      </c>
      <c r="K24" s="23" t="s">
        <v>285</v>
      </c>
      <c r="L24" s="23" t="s">
        <v>286</v>
      </c>
      <c r="M24" s="23" t="s">
        <v>93</v>
      </c>
      <c r="N24" s="23" t="s">
        <v>287</v>
      </c>
      <c r="O24" s="23" t="s">
        <v>288</v>
      </c>
      <c r="P24" s="23" t="s">
        <v>111</v>
      </c>
      <c r="Q24" s="23" t="s">
        <v>289</v>
      </c>
      <c r="R24" s="23" t="s">
        <v>70</v>
      </c>
      <c r="S24" s="23" t="s">
        <v>123</v>
      </c>
      <c r="T24" s="23" t="s">
        <v>42</v>
      </c>
      <c r="U24" s="24"/>
      <c r="V24" s="24"/>
      <c r="W24" s="24"/>
      <c r="X24" s="24"/>
      <c r="Y24" s="24"/>
      <c r="Z24" s="24"/>
      <c r="AA24" s="25" t="s">
        <v>43</v>
      </c>
    </row>
    <row r="25" spans="1:27" ht="70.05" customHeight="1" x14ac:dyDescent="0.4">
      <c r="A25" s="23" t="s">
        <v>290</v>
      </c>
      <c r="B25" s="23" t="s">
        <v>291</v>
      </c>
      <c r="C25" s="49" t="s">
        <v>292</v>
      </c>
      <c r="D25" s="23" t="s">
        <v>293</v>
      </c>
      <c r="E25" s="23" t="s">
        <v>294</v>
      </c>
      <c r="F25" s="23" t="s">
        <v>295</v>
      </c>
      <c r="G25" s="23" t="s">
        <v>103</v>
      </c>
      <c r="H25" s="23" t="s">
        <v>48</v>
      </c>
      <c r="I25" s="23" t="s">
        <v>296</v>
      </c>
      <c r="J25" s="23" t="s">
        <v>105</v>
      </c>
      <c r="K25" s="23" t="s">
        <v>297</v>
      </c>
      <c r="L25" s="23" t="s">
        <v>298</v>
      </c>
      <c r="M25" s="23" t="s">
        <v>93</v>
      </c>
      <c r="N25" s="23" t="s">
        <v>299</v>
      </c>
      <c r="O25" s="23" t="s">
        <v>300</v>
      </c>
      <c r="P25" s="23" t="s">
        <v>111</v>
      </c>
      <c r="Q25" s="23" t="s">
        <v>301</v>
      </c>
      <c r="R25" s="23" t="s">
        <v>302</v>
      </c>
      <c r="S25" s="23" t="s">
        <v>303</v>
      </c>
      <c r="T25" s="23" t="s">
        <v>304</v>
      </c>
      <c r="U25" s="24"/>
      <c r="V25" s="24"/>
      <c r="W25" s="24"/>
      <c r="X25" s="24"/>
      <c r="Y25" s="24"/>
      <c r="Z25" s="24"/>
      <c r="AA25" s="25" t="s">
        <v>43</v>
      </c>
    </row>
    <row r="26" spans="1:27" ht="70.05" customHeight="1" x14ac:dyDescent="0.4">
      <c r="A26" s="20" t="s">
        <v>305</v>
      </c>
      <c r="B26" s="20" t="s">
        <v>306</v>
      </c>
      <c r="C26" s="48" t="s">
        <v>307</v>
      </c>
      <c r="D26" s="20" t="s">
        <v>308</v>
      </c>
      <c r="E26" s="20" t="s">
        <v>309</v>
      </c>
      <c r="F26" s="20" t="s">
        <v>310</v>
      </c>
      <c r="G26" s="20" t="s">
        <v>29</v>
      </c>
      <c r="H26" s="20" t="s">
        <v>48</v>
      </c>
      <c r="I26" s="20" t="s">
        <v>311</v>
      </c>
      <c r="J26" s="20" t="s">
        <v>105</v>
      </c>
      <c r="K26" s="20" t="s">
        <v>312</v>
      </c>
      <c r="L26" s="20" t="s">
        <v>313</v>
      </c>
      <c r="M26" s="20" t="s">
        <v>66</v>
      </c>
      <c r="N26" s="20" t="s">
        <v>314</v>
      </c>
      <c r="O26" s="20" t="s">
        <v>315</v>
      </c>
      <c r="P26" s="20" t="s">
        <v>38</v>
      </c>
      <c r="Q26" s="20" t="s">
        <v>316</v>
      </c>
      <c r="R26" s="20" t="s">
        <v>317</v>
      </c>
      <c r="S26" s="20" t="s">
        <v>123</v>
      </c>
      <c r="T26" s="20" t="s">
        <v>42</v>
      </c>
      <c r="U26" s="21"/>
      <c r="V26" s="21"/>
      <c r="W26" s="21"/>
      <c r="X26" s="21"/>
      <c r="Y26" s="21"/>
      <c r="Z26" s="21"/>
      <c r="AA26" s="22" t="s">
        <v>43</v>
      </c>
    </row>
    <row r="27" spans="1:27" ht="70.05" customHeight="1" x14ac:dyDescent="0.4">
      <c r="A27" s="20" t="s">
        <v>318</v>
      </c>
      <c r="B27" s="20" t="s">
        <v>319</v>
      </c>
      <c r="C27" s="48" t="s">
        <v>320</v>
      </c>
      <c r="D27" s="20" t="s">
        <v>321</v>
      </c>
      <c r="E27" s="20" t="s">
        <v>322</v>
      </c>
      <c r="F27" s="20" t="s">
        <v>323</v>
      </c>
      <c r="G27" s="20" t="s">
        <v>29</v>
      </c>
      <c r="H27" s="20" t="s">
        <v>48</v>
      </c>
      <c r="I27" s="20" t="s">
        <v>324</v>
      </c>
      <c r="J27" s="20" t="s">
        <v>105</v>
      </c>
      <c r="K27" s="20" t="s">
        <v>325</v>
      </c>
      <c r="L27" s="20" t="s">
        <v>326</v>
      </c>
      <c r="M27" s="20" t="s">
        <v>327</v>
      </c>
      <c r="N27" s="20" t="s">
        <v>328</v>
      </c>
      <c r="O27" s="20" t="s">
        <v>329</v>
      </c>
      <c r="P27" s="20" t="s">
        <v>38</v>
      </c>
      <c r="Q27" s="20" t="s">
        <v>330</v>
      </c>
      <c r="R27" s="20" t="s">
        <v>331</v>
      </c>
      <c r="S27" s="20" t="s">
        <v>41</v>
      </c>
      <c r="T27" s="20" t="s">
        <v>42</v>
      </c>
      <c r="U27" s="21"/>
      <c r="V27" s="21"/>
      <c r="W27" s="21"/>
      <c r="X27" s="21"/>
      <c r="Y27" s="21"/>
      <c r="Z27" s="21"/>
      <c r="AA27" s="28" t="s">
        <v>332</v>
      </c>
    </row>
    <row r="28" spans="1:27" ht="70.05" customHeight="1" x14ac:dyDescent="0.4">
      <c r="A28" s="20" t="s">
        <v>333</v>
      </c>
      <c r="B28" s="20" t="s">
        <v>334</v>
      </c>
      <c r="C28" s="48" t="s">
        <v>335</v>
      </c>
      <c r="D28" s="20" t="s">
        <v>336</v>
      </c>
      <c r="E28" s="20" t="s">
        <v>337</v>
      </c>
      <c r="F28" s="20" t="s">
        <v>338</v>
      </c>
      <c r="G28" s="20" t="s">
        <v>29</v>
      </c>
      <c r="H28" s="20" t="s">
        <v>48</v>
      </c>
      <c r="I28" s="20" t="s">
        <v>339</v>
      </c>
      <c r="J28" s="20" t="s">
        <v>105</v>
      </c>
      <c r="K28" s="20" t="s">
        <v>340</v>
      </c>
      <c r="L28" s="20" t="s">
        <v>341</v>
      </c>
      <c r="M28" s="20" t="s">
        <v>66</v>
      </c>
      <c r="N28" s="20" t="s">
        <v>342</v>
      </c>
      <c r="O28" s="20" t="s">
        <v>343</v>
      </c>
      <c r="P28" s="20" t="s">
        <v>38</v>
      </c>
      <c r="Q28" s="20" t="s">
        <v>344</v>
      </c>
      <c r="R28" s="20" t="s">
        <v>345</v>
      </c>
      <c r="S28" s="20" t="s">
        <v>41</v>
      </c>
      <c r="T28" s="20" t="s">
        <v>42</v>
      </c>
      <c r="U28" s="21"/>
      <c r="V28" s="21"/>
      <c r="W28" s="21"/>
      <c r="X28" s="21"/>
      <c r="Y28" s="21"/>
      <c r="Z28" s="21"/>
      <c r="AA28" s="28" t="s">
        <v>346</v>
      </c>
    </row>
    <row r="29" spans="1:27" ht="70.05" customHeight="1" x14ac:dyDescent="0.4">
      <c r="A29" s="23" t="s">
        <v>347</v>
      </c>
      <c r="B29" s="23" t="s">
        <v>348</v>
      </c>
      <c r="C29" s="49" t="s">
        <v>349</v>
      </c>
      <c r="D29" s="23" t="s">
        <v>350</v>
      </c>
      <c r="E29" s="23" t="s">
        <v>337</v>
      </c>
      <c r="F29" s="23" t="s">
        <v>351</v>
      </c>
      <c r="G29" s="23" t="s">
        <v>103</v>
      </c>
      <c r="H29" s="23" t="s">
        <v>48</v>
      </c>
      <c r="I29" s="23" t="s">
        <v>352</v>
      </c>
      <c r="J29" s="23" t="s">
        <v>210</v>
      </c>
      <c r="K29" s="23" t="s">
        <v>353</v>
      </c>
      <c r="L29" s="23" t="s">
        <v>354</v>
      </c>
      <c r="M29" s="23" t="s">
        <v>355</v>
      </c>
      <c r="N29" s="23" t="s">
        <v>356</v>
      </c>
      <c r="O29" s="23" t="s">
        <v>357</v>
      </c>
      <c r="P29" s="23" t="s">
        <v>111</v>
      </c>
      <c r="Q29" s="23" t="s">
        <v>358</v>
      </c>
      <c r="R29" s="23" t="s">
        <v>359</v>
      </c>
      <c r="S29" s="23" t="s">
        <v>58</v>
      </c>
      <c r="T29" s="23" t="s">
        <v>42</v>
      </c>
      <c r="U29" s="24"/>
      <c r="V29" s="24"/>
      <c r="W29" s="24"/>
      <c r="X29" s="24"/>
      <c r="Y29" s="24"/>
      <c r="Z29" s="24"/>
      <c r="AA29" s="29" t="s">
        <v>360</v>
      </c>
    </row>
    <row r="30" spans="1:27" ht="70.05" customHeight="1" x14ac:dyDescent="0.4">
      <c r="A30" s="20" t="s">
        <v>361</v>
      </c>
      <c r="B30" s="20" t="s">
        <v>362</v>
      </c>
      <c r="C30" s="48" t="s">
        <v>302</v>
      </c>
      <c r="D30" s="20" t="s">
        <v>363</v>
      </c>
      <c r="E30" s="20" t="s">
        <v>337</v>
      </c>
      <c r="F30" s="20" t="s">
        <v>364</v>
      </c>
      <c r="G30" s="20" t="s">
        <v>29</v>
      </c>
      <c r="H30" s="20" t="s">
        <v>48</v>
      </c>
      <c r="I30" s="20" t="s">
        <v>365</v>
      </c>
      <c r="J30" s="20" t="s">
        <v>210</v>
      </c>
      <c r="K30" s="20" t="s">
        <v>366</v>
      </c>
      <c r="L30" s="20" t="s">
        <v>367</v>
      </c>
      <c r="M30" s="20" t="s">
        <v>355</v>
      </c>
      <c r="N30" s="20" t="s">
        <v>368</v>
      </c>
      <c r="O30" s="20" t="s">
        <v>369</v>
      </c>
      <c r="P30" s="20" t="s">
        <v>38</v>
      </c>
      <c r="Q30" s="20" t="s">
        <v>370</v>
      </c>
      <c r="R30" s="20" t="s">
        <v>371</v>
      </c>
      <c r="S30" s="20" t="s">
        <v>58</v>
      </c>
      <c r="T30" s="20" t="s">
        <v>165</v>
      </c>
      <c r="U30" s="21"/>
      <c r="V30" s="21"/>
      <c r="W30" s="21"/>
      <c r="X30" s="21"/>
      <c r="Y30" s="21"/>
      <c r="Z30" s="21"/>
      <c r="AA30" s="28" t="s">
        <v>372</v>
      </c>
    </row>
    <row r="31" spans="1:27" ht="70.05" customHeight="1" x14ac:dyDescent="0.4">
      <c r="A31" s="23" t="s">
        <v>373</v>
      </c>
      <c r="B31" s="23" t="s">
        <v>374</v>
      </c>
      <c r="C31" s="49" t="s">
        <v>375</v>
      </c>
      <c r="D31" s="23" t="s">
        <v>376</v>
      </c>
      <c r="E31" s="23" t="s">
        <v>377</v>
      </c>
      <c r="F31" s="23" t="s">
        <v>378</v>
      </c>
      <c r="G31" s="23" t="s">
        <v>103</v>
      </c>
      <c r="H31" s="23" t="s">
        <v>48</v>
      </c>
      <c r="I31" s="23" t="s">
        <v>379</v>
      </c>
      <c r="J31" s="23" t="s">
        <v>156</v>
      </c>
      <c r="K31" s="23" t="s">
        <v>380</v>
      </c>
      <c r="L31" s="23" t="s">
        <v>381</v>
      </c>
      <c r="M31" s="23" t="s">
        <v>146</v>
      </c>
      <c r="N31" s="23" t="s">
        <v>382</v>
      </c>
      <c r="O31" s="23" t="s">
        <v>383</v>
      </c>
      <c r="P31" s="23" t="s">
        <v>111</v>
      </c>
      <c r="Q31" s="23" t="s">
        <v>384</v>
      </c>
      <c r="R31" s="23" t="s">
        <v>385</v>
      </c>
      <c r="S31" s="23" t="s">
        <v>41</v>
      </c>
      <c r="T31" s="23" t="s">
        <v>42</v>
      </c>
      <c r="U31" s="24"/>
      <c r="V31" s="24"/>
      <c r="W31" s="24"/>
      <c r="X31" s="24"/>
      <c r="Y31" s="24"/>
      <c r="Z31" s="24"/>
      <c r="AA31" s="29" t="s">
        <v>386</v>
      </c>
    </row>
    <row r="32" spans="1:27" ht="70.05" customHeight="1" x14ac:dyDescent="0.4">
      <c r="A32" s="23" t="s">
        <v>387</v>
      </c>
      <c r="B32" s="23" t="s">
        <v>388</v>
      </c>
      <c r="C32" s="49" t="s">
        <v>389</v>
      </c>
      <c r="D32" s="23" t="s">
        <v>390</v>
      </c>
      <c r="E32" s="23" t="s">
        <v>102</v>
      </c>
      <c r="F32" s="23" t="s">
        <v>391</v>
      </c>
      <c r="G32" s="23" t="s">
        <v>103</v>
      </c>
      <c r="H32" s="23" t="s">
        <v>30</v>
      </c>
      <c r="I32" s="23" t="s">
        <v>392</v>
      </c>
      <c r="J32" s="23" t="s">
        <v>393</v>
      </c>
      <c r="K32" s="23" t="s">
        <v>394</v>
      </c>
      <c r="L32" s="23" t="s">
        <v>395</v>
      </c>
      <c r="M32" s="23" t="s">
        <v>93</v>
      </c>
      <c r="N32" s="23" t="s">
        <v>396</v>
      </c>
      <c r="O32" s="23" t="s">
        <v>397</v>
      </c>
      <c r="P32" s="23" t="s">
        <v>111</v>
      </c>
      <c r="Q32" s="23" t="s">
        <v>398</v>
      </c>
      <c r="R32" s="23" t="s">
        <v>399</v>
      </c>
      <c r="S32" s="23" t="s">
        <v>303</v>
      </c>
      <c r="T32" s="23" t="s">
        <v>304</v>
      </c>
      <c r="U32" s="24"/>
      <c r="V32" s="24"/>
      <c r="W32" s="24"/>
      <c r="X32" s="24"/>
      <c r="Y32" s="24"/>
      <c r="Z32" s="24"/>
      <c r="AA32" s="25" t="s">
        <v>43</v>
      </c>
    </row>
    <row r="33" spans="1:27" ht="70.05" customHeight="1" x14ac:dyDescent="0.4">
      <c r="A33" s="23" t="s">
        <v>400</v>
      </c>
      <c r="B33" s="23" t="s">
        <v>401</v>
      </c>
      <c r="C33" s="49" t="s">
        <v>402</v>
      </c>
      <c r="D33" s="23" t="s">
        <v>403</v>
      </c>
      <c r="E33" s="23" t="s">
        <v>27</v>
      </c>
      <c r="F33" s="23" t="s">
        <v>404</v>
      </c>
      <c r="G33" s="23" t="s">
        <v>103</v>
      </c>
      <c r="H33" s="23" t="s">
        <v>30</v>
      </c>
      <c r="I33" s="23" t="s">
        <v>405</v>
      </c>
      <c r="J33" s="23" t="s">
        <v>406</v>
      </c>
      <c r="K33" s="23" t="s">
        <v>407</v>
      </c>
      <c r="L33" s="23" t="s">
        <v>408</v>
      </c>
      <c r="M33" s="23" t="s">
        <v>66</v>
      </c>
      <c r="N33" s="23" t="s">
        <v>409</v>
      </c>
      <c r="O33" s="23" t="s">
        <v>410</v>
      </c>
      <c r="P33" s="23" t="s">
        <v>111</v>
      </c>
      <c r="Q33" s="23" t="s">
        <v>411</v>
      </c>
      <c r="R33" s="23" t="s">
        <v>402</v>
      </c>
      <c r="S33" s="23" t="s">
        <v>303</v>
      </c>
      <c r="T33" s="23" t="s">
        <v>304</v>
      </c>
      <c r="U33" s="24"/>
      <c r="V33" s="24"/>
      <c r="W33" s="24"/>
      <c r="X33" s="24"/>
      <c r="Y33" s="24"/>
      <c r="Z33" s="24"/>
      <c r="AA33" s="25" t="s">
        <v>43</v>
      </c>
    </row>
    <row r="34" spans="1:27" ht="70.05" customHeight="1" x14ac:dyDescent="0.4">
      <c r="A34" s="23" t="s">
        <v>412</v>
      </c>
      <c r="B34" s="23" t="s">
        <v>413</v>
      </c>
      <c r="C34" s="49" t="s">
        <v>414</v>
      </c>
      <c r="D34" s="23" t="s">
        <v>415</v>
      </c>
      <c r="E34" s="23" t="s">
        <v>294</v>
      </c>
      <c r="F34" s="23" t="s">
        <v>416</v>
      </c>
      <c r="G34" s="23" t="s">
        <v>103</v>
      </c>
      <c r="H34" s="23" t="s">
        <v>30</v>
      </c>
      <c r="I34" s="23" t="s">
        <v>417</v>
      </c>
      <c r="J34" s="23" t="s">
        <v>418</v>
      </c>
      <c r="K34" s="23" t="s">
        <v>419</v>
      </c>
      <c r="L34" s="23" t="s">
        <v>420</v>
      </c>
      <c r="M34" s="23" t="s">
        <v>421</v>
      </c>
      <c r="N34" s="23" t="s">
        <v>422</v>
      </c>
      <c r="O34" s="23" t="s">
        <v>423</v>
      </c>
      <c r="P34" s="23" t="s">
        <v>111</v>
      </c>
      <c r="Q34" s="23" t="s">
        <v>424</v>
      </c>
      <c r="R34" s="23" t="s">
        <v>425</v>
      </c>
      <c r="S34" s="23" t="s">
        <v>426</v>
      </c>
      <c r="T34" s="23" t="s">
        <v>427</v>
      </c>
      <c r="U34" s="24"/>
      <c r="V34" s="24"/>
      <c r="W34" s="24"/>
      <c r="X34" s="24"/>
      <c r="Y34" s="24"/>
      <c r="Z34" s="24"/>
      <c r="AA34" s="25" t="s">
        <v>43</v>
      </c>
    </row>
    <row r="35" spans="1:27" ht="70.05" customHeight="1" x14ac:dyDescent="0.4">
      <c r="A35" s="23" t="s">
        <v>428</v>
      </c>
      <c r="B35" s="23" t="s">
        <v>429</v>
      </c>
      <c r="C35" s="49" t="s">
        <v>430</v>
      </c>
      <c r="D35" s="23" t="s">
        <v>431</v>
      </c>
      <c r="E35" s="23" t="s">
        <v>432</v>
      </c>
      <c r="F35" s="23" t="s">
        <v>433</v>
      </c>
      <c r="G35" s="23" t="s">
        <v>103</v>
      </c>
      <c r="H35" s="23" t="s">
        <v>48</v>
      </c>
      <c r="I35" s="23" t="s">
        <v>434</v>
      </c>
      <c r="J35" s="23" t="s">
        <v>156</v>
      </c>
      <c r="K35" s="23" t="s">
        <v>435</v>
      </c>
      <c r="L35" s="23" t="s">
        <v>436</v>
      </c>
      <c r="M35" s="23" t="s">
        <v>146</v>
      </c>
      <c r="N35" s="23" t="s">
        <v>437</v>
      </c>
      <c r="O35" s="23" t="s">
        <v>438</v>
      </c>
      <c r="P35" s="23" t="s">
        <v>111</v>
      </c>
      <c r="Q35" s="23" t="s">
        <v>439</v>
      </c>
      <c r="R35" s="23" t="s">
        <v>440</v>
      </c>
      <c r="S35" s="23" t="s">
        <v>123</v>
      </c>
      <c r="T35" s="23" t="s">
        <v>42</v>
      </c>
      <c r="U35" s="24"/>
      <c r="V35" s="24"/>
      <c r="W35" s="24"/>
      <c r="X35" s="24"/>
      <c r="Y35" s="24"/>
      <c r="Z35" s="24"/>
      <c r="AA35" s="29" t="s">
        <v>441</v>
      </c>
    </row>
    <row r="36" spans="1:27" ht="70.05" customHeight="1" x14ac:dyDescent="0.4">
      <c r="A36" s="23" t="s">
        <v>442</v>
      </c>
      <c r="B36" s="23" t="s">
        <v>443</v>
      </c>
      <c r="C36" s="49" t="s">
        <v>444</v>
      </c>
      <c r="D36" s="23" t="s">
        <v>445</v>
      </c>
      <c r="E36" s="23" t="s">
        <v>337</v>
      </c>
      <c r="F36" s="23" t="s">
        <v>446</v>
      </c>
      <c r="G36" s="23" t="s">
        <v>103</v>
      </c>
      <c r="H36" s="23" t="s">
        <v>48</v>
      </c>
      <c r="I36" s="23" t="s">
        <v>447</v>
      </c>
      <c r="J36" s="23" t="s">
        <v>448</v>
      </c>
      <c r="K36" s="23" t="s">
        <v>449</v>
      </c>
      <c r="L36" s="23" t="s">
        <v>450</v>
      </c>
      <c r="M36" s="23" t="s">
        <v>355</v>
      </c>
      <c r="N36" s="23" t="s">
        <v>451</v>
      </c>
      <c r="O36" s="23" t="s">
        <v>452</v>
      </c>
      <c r="P36" s="23" t="s">
        <v>111</v>
      </c>
      <c r="Q36" s="23" t="s">
        <v>453</v>
      </c>
      <c r="R36" s="23" t="s">
        <v>454</v>
      </c>
      <c r="S36" s="23" t="s">
        <v>303</v>
      </c>
      <c r="T36" s="23" t="s">
        <v>42</v>
      </c>
      <c r="U36" s="24"/>
      <c r="V36" s="24"/>
      <c r="W36" s="24"/>
      <c r="X36" s="24"/>
      <c r="Y36" s="24"/>
      <c r="Z36" s="24"/>
      <c r="AA36" s="25" t="s">
        <v>43</v>
      </c>
    </row>
    <row r="37" spans="1:27" ht="70.05" customHeight="1" x14ac:dyDescent="0.4">
      <c r="A37" s="23" t="s">
        <v>455</v>
      </c>
      <c r="B37" s="23" t="s">
        <v>456</v>
      </c>
      <c r="C37" s="49" t="s">
        <v>457</v>
      </c>
      <c r="D37" s="23" t="s">
        <v>458</v>
      </c>
      <c r="E37" s="23" t="s">
        <v>128</v>
      </c>
      <c r="F37" s="23" t="s">
        <v>459</v>
      </c>
      <c r="G37" s="23" t="s">
        <v>103</v>
      </c>
      <c r="H37" s="23" t="s">
        <v>30</v>
      </c>
      <c r="I37" s="23" t="s">
        <v>460</v>
      </c>
      <c r="J37" s="23" t="s">
        <v>461</v>
      </c>
      <c r="K37" s="23" t="s">
        <v>462</v>
      </c>
      <c r="L37" s="23" t="s">
        <v>463</v>
      </c>
      <c r="M37" s="23" t="s">
        <v>464</v>
      </c>
      <c r="N37" s="23" t="s">
        <v>465</v>
      </c>
      <c r="O37" s="23" t="s">
        <v>466</v>
      </c>
      <c r="P37" s="23" t="s">
        <v>111</v>
      </c>
      <c r="Q37" s="23" t="s">
        <v>467</v>
      </c>
      <c r="R37" s="23" t="s">
        <v>468</v>
      </c>
      <c r="S37" s="23" t="s">
        <v>123</v>
      </c>
      <c r="T37" s="23" t="s">
        <v>304</v>
      </c>
      <c r="U37" s="24"/>
      <c r="V37" s="24"/>
      <c r="W37" s="24"/>
      <c r="X37" s="24"/>
      <c r="Y37" s="24"/>
      <c r="Z37" s="24"/>
      <c r="AA37" s="25" t="s">
        <v>43</v>
      </c>
    </row>
    <row r="38" spans="1:27" ht="70.05" customHeight="1" x14ac:dyDescent="0.4">
      <c r="A38" s="23" t="s">
        <v>469</v>
      </c>
      <c r="B38" s="23" t="s">
        <v>470</v>
      </c>
      <c r="C38" s="49" t="s">
        <v>471</v>
      </c>
      <c r="D38" s="23" t="s">
        <v>472</v>
      </c>
      <c r="E38" s="23" t="s">
        <v>337</v>
      </c>
      <c r="F38" s="23" t="s">
        <v>473</v>
      </c>
      <c r="G38" s="23" t="s">
        <v>103</v>
      </c>
      <c r="H38" s="23" t="s">
        <v>48</v>
      </c>
      <c r="I38" s="23" t="s">
        <v>474</v>
      </c>
      <c r="J38" s="23" t="s">
        <v>448</v>
      </c>
      <c r="K38" s="23" t="s">
        <v>475</v>
      </c>
      <c r="L38" s="23" t="s">
        <v>476</v>
      </c>
      <c r="M38" s="23" t="s">
        <v>477</v>
      </c>
      <c r="N38" s="23" t="s">
        <v>478</v>
      </c>
      <c r="O38" s="23" t="s">
        <v>479</v>
      </c>
      <c r="P38" s="23" t="s">
        <v>111</v>
      </c>
      <c r="Q38" s="23" t="s">
        <v>480</v>
      </c>
      <c r="R38" s="23" t="s">
        <v>481</v>
      </c>
      <c r="S38" s="23" t="s">
        <v>41</v>
      </c>
      <c r="T38" s="23" t="s">
        <v>42</v>
      </c>
      <c r="U38" s="24"/>
      <c r="V38" s="24"/>
      <c r="W38" s="24"/>
      <c r="X38" s="24"/>
      <c r="Y38" s="24"/>
      <c r="Z38" s="24"/>
      <c r="AA38" s="29" t="s">
        <v>482</v>
      </c>
    </row>
    <row r="39" spans="1:27" x14ac:dyDescent="0.4">
      <c r="A39" s="30" t="s">
        <v>483</v>
      </c>
      <c r="B39" s="30" t="s">
        <v>484</v>
      </c>
      <c r="C39" s="51" t="s">
        <v>208</v>
      </c>
      <c r="D39" s="30" t="s">
        <v>485</v>
      </c>
      <c r="E39" s="30" t="s">
        <v>75</v>
      </c>
      <c r="F39" s="30" t="s">
        <v>486</v>
      </c>
      <c r="G39" s="30" t="s">
        <v>103</v>
      </c>
      <c r="H39" s="30" t="s">
        <v>30</v>
      </c>
      <c r="I39" s="30" t="s">
        <v>487</v>
      </c>
      <c r="J39" s="30" t="s">
        <v>32</v>
      </c>
      <c r="K39" s="30" t="s">
        <v>488</v>
      </c>
      <c r="L39" s="30" t="s">
        <v>489</v>
      </c>
      <c r="M39" s="30" t="s">
        <v>66</v>
      </c>
      <c r="N39" s="30" t="s">
        <v>490</v>
      </c>
      <c r="O39" s="30" t="s">
        <v>491</v>
      </c>
      <c r="P39" s="30" t="s">
        <v>492</v>
      </c>
      <c r="Q39" s="30" t="s">
        <v>493</v>
      </c>
      <c r="R39" s="30" t="s">
        <v>486</v>
      </c>
      <c r="S39" s="30" t="s">
        <v>58</v>
      </c>
      <c r="T39" s="30" t="s">
        <v>165</v>
      </c>
      <c r="U39" s="30"/>
      <c r="V39" s="30"/>
      <c r="W39" s="30"/>
      <c r="X39" s="30"/>
      <c r="Y39" s="30"/>
      <c r="Z39" s="30"/>
      <c r="AA39" s="31" t="s">
        <v>494</v>
      </c>
    </row>
    <row r="40" spans="1:27" ht="57.6" x14ac:dyDescent="0.4">
      <c r="A40" s="32" t="s">
        <v>495</v>
      </c>
      <c r="B40" s="32" t="s">
        <v>496</v>
      </c>
      <c r="C40" s="32" t="s">
        <v>320</v>
      </c>
      <c r="D40" s="32" t="s">
        <v>497</v>
      </c>
      <c r="E40" s="32" t="s">
        <v>498</v>
      </c>
      <c r="F40" s="32" t="s">
        <v>499</v>
      </c>
      <c r="G40" s="32" t="s">
        <v>103</v>
      </c>
      <c r="H40" s="32" t="s">
        <v>30</v>
      </c>
      <c r="I40" s="32" t="s">
        <v>500</v>
      </c>
      <c r="J40" s="32" t="s">
        <v>32</v>
      </c>
      <c r="K40" s="32" t="s">
        <v>501</v>
      </c>
      <c r="L40" s="32" t="s">
        <v>502</v>
      </c>
      <c r="M40" s="32" t="s">
        <v>503</v>
      </c>
      <c r="N40" s="32" t="s">
        <v>504</v>
      </c>
      <c r="O40" s="32" t="s">
        <v>505</v>
      </c>
      <c r="P40" s="32" t="s">
        <v>492</v>
      </c>
      <c r="Q40" s="32" t="s">
        <v>506</v>
      </c>
      <c r="R40" s="32" t="s">
        <v>331</v>
      </c>
      <c r="S40" s="32" t="s">
        <v>58</v>
      </c>
      <c r="T40" s="32" t="s">
        <v>165</v>
      </c>
      <c r="U40" s="30"/>
      <c r="V40" s="30"/>
      <c r="W40" s="30"/>
      <c r="X40" s="30"/>
      <c r="Y40" s="30"/>
      <c r="Z40" s="30"/>
      <c r="AA40" s="31" t="s">
        <v>507</v>
      </c>
    </row>
    <row r="42" spans="1:27" x14ac:dyDescent="0.4">
      <c r="A42" s="53" t="s">
        <v>508</v>
      </c>
    </row>
    <row r="43" spans="1:27" x14ac:dyDescent="0.4">
      <c r="A43" s="33"/>
      <c r="B43" s="52" t="s">
        <v>763</v>
      </c>
    </row>
    <row r="44" spans="1:27" x14ac:dyDescent="0.4">
      <c r="A44" s="34"/>
      <c r="B44" s="6" t="s">
        <v>764</v>
      </c>
    </row>
    <row r="45" spans="1:27" x14ac:dyDescent="0.4">
      <c r="A45" s="35"/>
      <c r="B45" s="6" t="s">
        <v>765</v>
      </c>
    </row>
    <row r="46" spans="1:27" x14ac:dyDescent="0.4">
      <c r="A46" s="36"/>
      <c r="B46" s="6" t="s">
        <v>766</v>
      </c>
    </row>
  </sheetData>
  <mergeCells count="2">
    <mergeCell ref="A1:T1"/>
    <mergeCell ref="A2:T2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zoomScale="170" zoomScaleNormal="170" workbookViewId="0">
      <selection sqref="A1:D1"/>
    </sheetView>
  </sheetViews>
  <sheetFormatPr defaultColWidth="8.77734375" defaultRowHeight="14.4" x14ac:dyDescent="0.3"/>
  <cols>
    <col min="1" max="1" width="12" customWidth="1"/>
    <col min="2" max="2" width="34" customWidth="1"/>
    <col min="3" max="3" width="78" customWidth="1"/>
    <col min="4" max="4" width="28" customWidth="1"/>
  </cols>
  <sheetData>
    <row r="1" spans="1:26" ht="28.05" customHeight="1" x14ac:dyDescent="0.4">
      <c r="A1" s="37" t="s">
        <v>639</v>
      </c>
      <c r="B1" s="41"/>
      <c r="C1" s="41"/>
      <c r="D1" s="4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.049999999999997" customHeight="1" x14ac:dyDescent="0.3">
      <c r="A2" s="44" t="s">
        <v>647</v>
      </c>
      <c r="B2" s="41"/>
      <c r="C2" s="41"/>
      <c r="D2" s="41"/>
    </row>
    <row r="4" spans="1:26" ht="34.049999999999997" customHeight="1" x14ac:dyDescent="0.3">
      <c r="A4" s="1" t="s">
        <v>648</v>
      </c>
      <c r="B4" s="1" t="s">
        <v>649</v>
      </c>
      <c r="C4" s="1" t="s">
        <v>5</v>
      </c>
      <c r="D4" s="1" t="s">
        <v>650</v>
      </c>
    </row>
    <row r="5" spans="1:26" ht="52.05" customHeight="1" x14ac:dyDescent="0.3">
      <c r="A5" s="3" t="s">
        <v>27</v>
      </c>
      <c r="B5" s="3" t="s">
        <v>651</v>
      </c>
      <c r="C5" s="3" t="s">
        <v>652</v>
      </c>
      <c r="D5" s="3" t="s">
        <v>653</v>
      </c>
    </row>
    <row r="6" spans="1:26" ht="52.05" customHeight="1" x14ac:dyDescent="0.3">
      <c r="A6" s="3" t="s">
        <v>75</v>
      </c>
      <c r="B6" s="3" t="s">
        <v>654</v>
      </c>
      <c r="C6" s="3" t="s">
        <v>655</v>
      </c>
      <c r="D6" s="3" t="s">
        <v>50</v>
      </c>
    </row>
    <row r="7" spans="1:26" ht="52.05" customHeight="1" x14ac:dyDescent="0.3">
      <c r="A7" s="3" t="s">
        <v>171</v>
      </c>
      <c r="B7" s="3" t="s">
        <v>656</v>
      </c>
      <c r="C7" s="3" t="s">
        <v>657</v>
      </c>
      <c r="D7" s="3" t="s">
        <v>658</v>
      </c>
    </row>
    <row r="8" spans="1:26" ht="52.05" customHeight="1" x14ac:dyDescent="0.3">
      <c r="A8" s="3" t="s">
        <v>337</v>
      </c>
      <c r="B8" s="3" t="s">
        <v>659</v>
      </c>
      <c r="C8" s="3" t="s">
        <v>660</v>
      </c>
      <c r="D8" s="3" t="s">
        <v>448</v>
      </c>
    </row>
    <row r="9" spans="1:26" ht="52.05" customHeight="1" x14ac:dyDescent="0.3">
      <c r="A9" s="3" t="s">
        <v>432</v>
      </c>
      <c r="B9" s="3" t="s">
        <v>661</v>
      </c>
      <c r="C9" s="3" t="s">
        <v>662</v>
      </c>
      <c r="D9" s="3" t="s">
        <v>663</v>
      </c>
    </row>
  </sheetData>
  <mergeCells count="2">
    <mergeCell ref="A1:D1"/>
    <mergeCell ref="A2:D2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"/>
  <sheetViews>
    <sheetView zoomScale="170" zoomScaleNormal="170" workbookViewId="0">
      <selection sqref="A1:D1"/>
    </sheetView>
  </sheetViews>
  <sheetFormatPr defaultColWidth="8.77734375" defaultRowHeight="14.4" x14ac:dyDescent="0.3"/>
  <cols>
    <col min="1" max="1" width="10" customWidth="1"/>
    <col min="2" max="2" width="22" customWidth="1"/>
    <col min="3" max="3" width="78" customWidth="1"/>
    <col min="4" max="4" width="50" customWidth="1"/>
  </cols>
  <sheetData>
    <row r="1" spans="1:26" ht="28.05" customHeight="1" x14ac:dyDescent="0.4">
      <c r="A1" s="37" t="s">
        <v>664</v>
      </c>
      <c r="B1" s="41"/>
      <c r="C1" s="41"/>
      <c r="D1" s="4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.049999999999997" customHeight="1" x14ac:dyDescent="0.3">
      <c r="A2" s="44" t="s">
        <v>665</v>
      </c>
      <c r="B2" s="41"/>
      <c r="C2" s="41"/>
      <c r="D2" s="41"/>
    </row>
    <row r="4" spans="1:26" ht="34.049999999999997" customHeight="1" x14ac:dyDescent="0.3">
      <c r="A4" s="1" t="s">
        <v>666</v>
      </c>
      <c r="B4" s="1" t="s">
        <v>667</v>
      </c>
      <c r="C4" s="1" t="s">
        <v>668</v>
      </c>
      <c r="D4" s="1" t="s">
        <v>669</v>
      </c>
    </row>
    <row r="5" spans="1:26" ht="52.05" customHeight="1" x14ac:dyDescent="0.3">
      <c r="A5" s="3" t="s">
        <v>103</v>
      </c>
      <c r="B5" s="3" t="s">
        <v>670</v>
      </c>
      <c r="C5" s="3" t="s">
        <v>671</v>
      </c>
      <c r="D5" s="3" t="s">
        <v>672</v>
      </c>
    </row>
    <row r="6" spans="1:26" ht="52.05" customHeight="1" x14ac:dyDescent="0.3">
      <c r="A6" s="3" t="s">
        <v>29</v>
      </c>
      <c r="B6" s="3" t="s">
        <v>521</v>
      </c>
      <c r="C6" s="3" t="s">
        <v>673</v>
      </c>
      <c r="D6" s="3" t="s">
        <v>674</v>
      </c>
    </row>
    <row r="7" spans="1:26" ht="52.05" customHeight="1" x14ac:dyDescent="0.3">
      <c r="A7" s="3" t="s">
        <v>30</v>
      </c>
      <c r="B7" s="3" t="s">
        <v>675</v>
      </c>
      <c r="C7" s="3" t="s">
        <v>676</v>
      </c>
      <c r="D7" s="3" t="s">
        <v>677</v>
      </c>
    </row>
    <row r="8" spans="1:26" ht="52.05" customHeight="1" x14ac:dyDescent="0.3">
      <c r="A8" s="3" t="s">
        <v>48</v>
      </c>
      <c r="B8" s="3" t="s">
        <v>678</v>
      </c>
      <c r="C8" s="3" t="s">
        <v>679</v>
      </c>
      <c r="D8" s="3" t="s">
        <v>680</v>
      </c>
    </row>
    <row r="9" spans="1:26" ht="52.05" customHeight="1" x14ac:dyDescent="0.3">
      <c r="A9" s="3" t="s">
        <v>681</v>
      </c>
      <c r="B9" s="3" t="s">
        <v>682</v>
      </c>
      <c r="C9" s="3" t="s">
        <v>683</v>
      </c>
      <c r="D9" s="3" t="s">
        <v>684</v>
      </c>
    </row>
  </sheetData>
  <mergeCells count="2">
    <mergeCell ref="A1:D1"/>
    <mergeCell ref="A2:D2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6"/>
  <sheetViews>
    <sheetView zoomScale="190" zoomScaleNormal="190" workbookViewId="0">
      <selection sqref="A1:D1"/>
    </sheetView>
  </sheetViews>
  <sheetFormatPr defaultColWidth="8.77734375" defaultRowHeight="14.4" x14ac:dyDescent="0.3"/>
  <cols>
    <col min="1" max="1" width="24" customWidth="1"/>
    <col min="2" max="2" width="38" customWidth="1"/>
    <col min="3" max="3" width="78" customWidth="1"/>
    <col min="4" max="4" width="34" customWidth="1"/>
  </cols>
  <sheetData>
    <row r="1" spans="1:26" ht="28.05" customHeight="1" x14ac:dyDescent="0.4">
      <c r="A1" s="37" t="s">
        <v>685</v>
      </c>
      <c r="B1" s="41"/>
      <c r="C1" s="41"/>
      <c r="D1" s="4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.049999999999997" customHeight="1" x14ac:dyDescent="0.3">
      <c r="A2" s="44" t="s">
        <v>686</v>
      </c>
      <c r="B2" s="41"/>
      <c r="C2" s="41"/>
      <c r="D2" s="41"/>
    </row>
    <row r="4" spans="1:26" ht="34.049999999999997" customHeight="1" x14ac:dyDescent="0.3">
      <c r="A4" s="1" t="s">
        <v>513</v>
      </c>
      <c r="B4" s="1" t="s">
        <v>687</v>
      </c>
      <c r="C4" s="1" t="s">
        <v>688</v>
      </c>
      <c r="D4" s="1" t="s">
        <v>689</v>
      </c>
    </row>
    <row r="5" spans="1:26" ht="58.05" customHeight="1" x14ac:dyDescent="0.3">
      <c r="A5" s="3" t="s">
        <v>690</v>
      </c>
      <c r="B5" s="3" t="s">
        <v>691</v>
      </c>
      <c r="C5" s="3" t="s">
        <v>692</v>
      </c>
      <c r="D5" s="3" t="s">
        <v>270</v>
      </c>
    </row>
    <row r="6" spans="1:26" ht="58.05" customHeight="1" x14ac:dyDescent="0.3">
      <c r="A6" s="3" t="s">
        <v>32</v>
      </c>
      <c r="B6" s="3" t="s">
        <v>693</v>
      </c>
      <c r="C6" s="3" t="s">
        <v>694</v>
      </c>
      <c r="D6" s="3" t="s">
        <v>42</v>
      </c>
    </row>
    <row r="7" spans="1:26" ht="58.05" customHeight="1" x14ac:dyDescent="0.3">
      <c r="A7" s="3" t="s">
        <v>105</v>
      </c>
      <c r="B7" s="3" t="s">
        <v>695</v>
      </c>
      <c r="C7" s="3" t="s">
        <v>696</v>
      </c>
      <c r="D7" s="3" t="s">
        <v>697</v>
      </c>
    </row>
    <row r="8" spans="1:26" ht="58.05" customHeight="1" x14ac:dyDescent="0.3">
      <c r="A8" s="3" t="s">
        <v>418</v>
      </c>
      <c r="B8" s="3" t="s">
        <v>698</v>
      </c>
      <c r="C8" s="3" t="s">
        <v>699</v>
      </c>
      <c r="D8" s="3" t="s">
        <v>427</v>
      </c>
    </row>
    <row r="10" spans="1:26" x14ac:dyDescent="0.3">
      <c r="A10" s="7" t="s">
        <v>700</v>
      </c>
    </row>
    <row r="11" spans="1:26" x14ac:dyDescent="0.3">
      <c r="A11" s="8" t="s">
        <v>20</v>
      </c>
      <c r="B11" s="8" t="s">
        <v>668</v>
      </c>
      <c r="C11" s="8" t="s">
        <v>701</v>
      </c>
    </row>
    <row r="12" spans="1:26" ht="27.6" x14ac:dyDescent="0.3">
      <c r="A12" s="17" t="s">
        <v>58</v>
      </c>
      <c r="B12" s="18" t="s">
        <v>702</v>
      </c>
      <c r="C12" s="18" t="s">
        <v>703</v>
      </c>
    </row>
    <row r="13" spans="1:26" x14ac:dyDescent="0.3">
      <c r="A13" s="17" t="s">
        <v>41</v>
      </c>
      <c r="B13" s="18" t="s">
        <v>704</v>
      </c>
      <c r="C13" s="18" t="s">
        <v>705</v>
      </c>
    </row>
    <row r="14" spans="1:26" x14ac:dyDescent="0.3">
      <c r="A14" s="17" t="s">
        <v>123</v>
      </c>
      <c r="B14" s="18" t="s">
        <v>706</v>
      </c>
      <c r="C14" s="18" t="s">
        <v>707</v>
      </c>
    </row>
    <row r="15" spans="1:26" x14ac:dyDescent="0.3">
      <c r="A15" s="17" t="s">
        <v>303</v>
      </c>
      <c r="B15" s="18" t="s">
        <v>708</v>
      </c>
      <c r="C15" s="18" t="s">
        <v>709</v>
      </c>
    </row>
    <row r="16" spans="1:26" x14ac:dyDescent="0.3">
      <c r="A16" s="17" t="s">
        <v>426</v>
      </c>
      <c r="B16" s="18" t="s">
        <v>710</v>
      </c>
      <c r="C16" s="18" t="s">
        <v>711</v>
      </c>
    </row>
  </sheetData>
  <mergeCells count="2">
    <mergeCell ref="A1:D1"/>
    <mergeCell ref="A2:D2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4"/>
  <sheetViews>
    <sheetView zoomScale="140" zoomScaleNormal="140" workbookViewId="0">
      <selection sqref="A1:D1"/>
    </sheetView>
  </sheetViews>
  <sheetFormatPr defaultColWidth="8.77734375" defaultRowHeight="14.4" x14ac:dyDescent="0.3"/>
  <cols>
    <col min="1" max="1" width="30" customWidth="1"/>
    <col min="2" max="2" width="82" customWidth="1"/>
    <col min="3" max="3" width="28" customWidth="1"/>
    <col min="4" max="4" width="26" customWidth="1"/>
  </cols>
  <sheetData>
    <row r="1" spans="1:26" ht="28.05" customHeight="1" x14ac:dyDescent="0.4">
      <c r="A1" s="37" t="s">
        <v>712</v>
      </c>
      <c r="B1" s="41"/>
      <c r="C1" s="41"/>
      <c r="D1" s="41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.049999999999997" customHeight="1" x14ac:dyDescent="0.3">
      <c r="A2" s="44" t="s">
        <v>713</v>
      </c>
      <c r="B2" s="41"/>
      <c r="C2" s="41"/>
      <c r="D2" s="41"/>
    </row>
    <row r="4" spans="1:26" ht="34.049999999999997" customHeight="1" x14ac:dyDescent="0.3">
      <c r="A4" s="1" t="s">
        <v>3</v>
      </c>
      <c r="B4" s="1" t="s">
        <v>15</v>
      </c>
      <c r="C4" s="1" t="s">
        <v>714</v>
      </c>
      <c r="D4" s="1" t="s">
        <v>19</v>
      </c>
    </row>
    <row r="5" spans="1:26" ht="52.05" customHeight="1" x14ac:dyDescent="0.3">
      <c r="A5" s="3" t="s">
        <v>45</v>
      </c>
      <c r="B5" s="3" t="s">
        <v>715</v>
      </c>
      <c r="C5" s="3" t="s">
        <v>50</v>
      </c>
      <c r="D5" s="3" t="s">
        <v>57</v>
      </c>
    </row>
    <row r="6" spans="1:26" ht="52.05" customHeight="1" x14ac:dyDescent="0.3">
      <c r="A6" s="3" t="s">
        <v>234</v>
      </c>
      <c r="B6" s="3" t="s">
        <v>716</v>
      </c>
      <c r="C6" s="3" t="s">
        <v>50</v>
      </c>
      <c r="D6" s="3" t="s">
        <v>717</v>
      </c>
    </row>
    <row r="7" spans="1:26" ht="52.05" customHeight="1" x14ac:dyDescent="0.3">
      <c r="A7" s="3" t="s">
        <v>72</v>
      </c>
      <c r="B7" s="3" t="s">
        <v>718</v>
      </c>
      <c r="C7" s="3" t="s">
        <v>32</v>
      </c>
      <c r="D7" s="3" t="s">
        <v>84</v>
      </c>
    </row>
    <row r="8" spans="1:26" ht="52.05" customHeight="1" x14ac:dyDescent="0.3">
      <c r="A8" s="3" t="s">
        <v>125</v>
      </c>
      <c r="B8" s="3" t="s">
        <v>719</v>
      </c>
      <c r="C8" s="3" t="s">
        <v>32</v>
      </c>
      <c r="D8" s="3" t="s">
        <v>720</v>
      </c>
    </row>
    <row r="9" spans="1:26" ht="52.05" customHeight="1" x14ac:dyDescent="0.3">
      <c r="A9" s="3" t="s">
        <v>721</v>
      </c>
      <c r="B9" s="3" t="s">
        <v>722</v>
      </c>
      <c r="C9" s="3" t="s">
        <v>50</v>
      </c>
      <c r="D9" s="3" t="s">
        <v>192</v>
      </c>
    </row>
    <row r="10" spans="1:26" ht="52.05" customHeight="1" x14ac:dyDescent="0.3">
      <c r="A10" s="3" t="s">
        <v>723</v>
      </c>
      <c r="B10" s="3" t="s">
        <v>724</v>
      </c>
      <c r="C10" s="3" t="s">
        <v>50</v>
      </c>
      <c r="D10" s="3" t="s">
        <v>204</v>
      </c>
    </row>
    <row r="11" spans="1:26" ht="52.05" customHeight="1" x14ac:dyDescent="0.3">
      <c r="A11" s="3" t="s">
        <v>725</v>
      </c>
      <c r="B11" s="3" t="s">
        <v>726</v>
      </c>
      <c r="C11" s="3" t="s">
        <v>105</v>
      </c>
      <c r="D11" s="3" t="s">
        <v>218</v>
      </c>
    </row>
    <row r="12" spans="1:26" ht="52.05" customHeight="1" x14ac:dyDescent="0.3">
      <c r="A12" s="3" t="s">
        <v>221</v>
      </c>
      <c r="B12" s="3" t="s">
        <v>727</v>
      </c>
      <c r="C12" s="3" t="s">
        <v>105</v>
      </c>
      <c r="D12" s="3" t="s">
        <v>192</v>
      </c>
    </row>
    <row r="13" spans="1:26" ht="52.05" customHeight="1" x14ac:dyDescent="0.3">
      <c r="A13" s="3" t="s">
        <v>319</v>
      </c>
      <c r="B13" s="3" t="s">
        <v>728</v>
      </c>
      <c r="C13" s="3" t="s">
        <v>105</v>
      </c>
      <c r="D13" s="3" t="s">
        <v>345</v>
      </c>
    </row>
    <row r="14" spans="1:26" ht="52.05" customHeight="1" x14ac:dyDescent="0.3">
      <c r="A14" s="3" t="s">
        <v>470</v>
      </c>
      <c r="B14" s="3" t="s">
        <v>729</v>
      </c>
      <c r="C14" s="3" t="s">
        <v>448</v>
      </c>
      <c r="D14" s="3" t="s">
        <v>730</v>
      </c>
    </row>
  </sheetData>
  <mergeCells count="2">
    <mergeCell ref="A1:D1"/>
    <mergeCell ref="A2:D2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1"/>
  <sheetViews>
    <sheetView workbookViewId="0"/>
  </sheetViews>
  <sheetFormatPr defaultRowHeight="14.4" x14ac:dyDescent="0.3"/>
  <cols>
    <col min="1" max="1" width="8" customWidth="1"/>
    <col min="2" max="2" width="36" customWidth="1"/>
    <col min="3" max="3" width="10" customWidth="1"/>
    <col min="4" max="4" width="28" customWidth="1"/>
    <col min="5" max="5" width="26" customWidth="1"/>
    <col min="6" max="6" width="16" customWidth="1"/>
    <col min="7" max="7" width="8" customWidth="1"/>
    <col min="8" max="8" width="20" customWidth="1"/>
  </cols>
  <sheetData>
    <row r="1" spans="1:8" ht="22.05" customHeight="1" x14ac:dyDescent="0.3">
      <c r="A1" s="45" t="s">
        <v>731</v>
      </c>
      <c r="B1" s="41"/>
      <c r="C1" s="41"/>
      <c r="D1" s="41"/>
      <c r="E1" s="41"/>
      <c r="F1" s="41"/>
      <c r="G1" s="41"/>
      <c r="H1" s="41"/>
    </row>
    <row r="2" spans="1:8" ht="7.95" customHeight="1" x14ac:dyDescent="0.3"/>
    <row r="3" spans="1:8" ht="18" customHeight="1" x14ac:dyDescent="0.3">
      <c r="A3" s="8" t="s">
        <v>22</v>
      </c>
      <c r="B3" s="8" t="s">
        <v>563</v>
      </c>
      <c r="C3" s="8" t="s">
        <v>560</v>
      </c>
      <c r="D3" s="8" t="s">
        <v>732</v>
      </c>
      <c r="E3" s="8" t="s">
        <v>733</v>
      </c>
      <c r="F3" s="8" t="s">
        <v>512</v>
      </c>
      <c r="G3" s="8" t="s">
        <v>734</v>
      </c>
      <c r="H3" s="8" t="s">
        <v>735</v>
      </c>
    </row>
    <row r="4" spans="1:8" ht="28.05" customHeight="1" x14ac:dyDescent="0.3">
      <c r="A4" s="9" t="s">
        <v>575</v>
      </c>
      <c r="B4" s="9" t="s">
        <v>576</v>
      </c>
      <c r="C4" s="9" t="s">
        <v>736</v>
      </c>
      <c r="D4" s="9" t="s">
        <v>737</v>
      </c>
      <c r="E4" s="9" t="s">
        <v>738</v>
      </c>
      <c r="F4" s="9" t="s">
        <v>739</v>
      </c>
      <c r="G4" s="9" t="s">
        <v>740</v>
      </c>
      <c r="H4" s="9" t="s">
        <v>741</v>
      </c>
    </row>
    <row r="5" spans="1:8" ht="28.05" customHeight="1" x14ac:dyDescent="0.3">
      <c r="A5" s="9" t="s">
        <v>205</v>
      </c>
      <c r="B5" s="9" t="s">
        <v>578</v>
      </c>
      <c r="C5" s="9" t="s">
        <v>736</v>
      </c>
      <c r="D5" s="9" t="s">
        <v>742</v>
      </c>
      <c r="E5" s="9" t="s">
        <v>743</v>
      </c>
      <c r="F5" s="9" t="s">
        <v>531</v>
      </c>
      <c r="G5" s="9" t="s">
        <v>744</v>
      </c>
      <c r="H5" s="9" t="s">
        <v>741</v>
      </c>
    </row>
    <row r="6" spans="1:8" ht="28.05" customHeight="1" x14ac:dyDescent="0.3">
      <c r="A6" s="9" t="s">
        <v>193</v>
      </c>
      <c r="B6" s="9" t="s">
        <v>580</v>
      </c>
      <c r="C6" s="9" t="s">
        <v>736</v>
      </c>
      <c r="D6" s="9" t="s">
        <v>745</v>
      </c>
      <c r="E6" s="9" t="s">
        <v>746</v>
      </c>
      <c r="F6" s="9" t="s">
        <v>531</v>
      </c>
      <c r="G6" s="9" t="s">
        <v>747</v>
      </c>
      <c r="H6" s="9" t="s">
        <v>522</v>
      </c>
    </row>
    <row r="7" spans="1:8" ht="28.05" customHeight="1" x14ac:dyDescent="0.3">
      <c r="A7" s="12" t="s">
        <v>534</v>
      </c>
      <c r="B7" s="12" t="s">
        <v>568</v>
      </c>
      <c r="C7" s="12" t="s">
        <v>748</v>
      </c>
      <c r="D7" s="12" t="s">
        <v>749</v>
      </c>
      <c r="E7" s="12" t="s">
        <v>750</v>
      </c>
      <c r="F7" s="12" t="s">
        <v>531</v>
      </c>
      <c r="G7" s="12" t="s">
        <v>43</v>
      </c>
      <c r="H7" s="12" t="s">
        <v>541</v>
      </c>
    </row>
    <row r="8" spans="1:8" ht="28.05" customHeight="1" x14ac:dyDescent="0.3">
      <c r="A8" s="12" t="s">
        <v>534</v>
      </c>
      <c r="B8" s="12" t="s">
        <v>571</v>
      </c>
      <c r="C8" s="12" t="s">
        <v>748</v>
      </c>
      <c r="D8" s="12" t="s">
        <v>751</v>
      </c>
      <c r="E8" s="12" t="s">
        <v>752</v>
      </c>
      <c r="F8" s="12" t="s">
        <v>531</v>
      </c>
      <c r="G8" s="12" t="s">
        <v>43</v>
      </c>
      <c r="H8" s="12" t="s">
        <v>541</v>
      </c>
    </row>
    <row r="9" spans="1:8" ht="28.05" customHeight="1" x14ac:dyDescent="0.3">
      <c r="A9" s="11" t="s">
        <v>534</v>
      </c>
      <c r="B9" s="11" t="s">
        <v>753</v>
      </c>
      <c r="C9" s="11" t="s">
        <v>736</v>
      </c>
      <c r="D9" s="11" t="s">
        <v>754</v>
      </c>
      <c r="E9" s="11" t="s">
        <v>755</v>
      </c>
      <c r="F9" s="11" t="s">
        <v>531</v>
      </c>
      <c r="G9" s="11" t="s">
        <v>43</v>
      </c>
      <c r="H9" s="11" t="s">
        <v>541</v>
      </c>
    </row>
    <row r="10" spans="1:8" ht="28.05" customHeight="1" x14ac:dyDescent="0.3">
      <c r="A10" s="11" t="s">
        <v>534</v>
      </c>
      <c r="B10" s="11" t="s">
        <v>756</v>
      </c>
      <c r="C10" s="11" t="s">
        <v>736</v>
      </c>
      <c r="D10" s="11" t="s">
        <v>757</v>
      </c>
      <c r="E10" s="11" t="s">
        <v>758</v>
      </c>
      <c r="F10" s="11" t="s">
        <v>531</v>
      </c>
      <c r="G10" s="11" t="s">
        <v>43</v>
      </c>
      <c r="H10" s="11" t="s">
        <v>541</v>
      </c>
    </row>
    <row r="11" spans="1:8" ht="28.05" customHeight="1" x14ac:dyDescent="0.3">
      <c r="A11" s="13" t="s">
        <v>534</v>
      </c>
      <c r="B11" s="13" t="s">
        <v>759</v>
      </c>
      <c r="C11" s="13" t="s">
        <v>760</v>
      </c>
      <c r="D11" s="13" t="s">
        <v>761</v>
      </c>
      <c r="E11" s="13" t="s">
        <v>43</v>
      </c>
      <c r="F11" s="13" t="s">
        <v>531</v>
      </c>
      <c r="G11" s="13" t="s">
        <v>43</v>
      </c>
      <c r="H11" s="13" t="s">
        <v>762</v>
      </c>
    </row>
  </sheetData>
  <mergeCells count="1">
    <mergeCell ref="A1:H1"/>
  </mergeCells>
  <phoneticPr fontId="2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Release Dashboard</vt:lpstr>
      <vt:lpstr>README</vt:lpstr>
      <vt:lpstr>Capability Matrix</vt:lpstr>
      <vt:lpstr>Golden Paths</vt:lpstr>
      <vt:lpstr>Maturity Definitions</vt:lpstr>
      <vt:lpstr>Edition Gates</vt:lpstr>
      <vt:lpstr>Acceptance Evidence</vt:lpstr>
      <vt:lpstr>Issue Traceability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rensheng huang</cp:lastModifiedBy>
  <dcterms:created xsi:type="dcterms:W3CDTF">2026-04-27T03:35:46Z</dcterms:created>
  <dcterms:modified xsi:type="dcterms:W3CDTF">2026-04-27T14:14:27Z</dcterms:modified>
</cp:coreProperties>
</file>