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lease Dashboard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Capability Matrix" sheetId="3" state="visible" r:id="rId3"/>
    <sheet xmlns:r="http://schemas.openxmlformats.org/officeDocument/2006/relationships" name="Golden Paths" sheetId="4" state="visible" r:id="rId4"/>
    <sheet xmlns:r="http://schemas.openxmlformats.org/officeDocument/2006/relationships" name="Maturity Definitions" sheetId="5" state="visible" r:id="rId5"/>
    <sheet xmlns:r="http://schemas.openxmlformats.org/officeDocument/2006/relationships" name="Edition Gates" sheetId="6" state="visible" r:id="rId6"/>
    <sheet xmlns:r="http://schemas.openxmlformats.org/officeDocument/2006/relationships" name="Acceptance Evidence" sheetId="7" state="visible" r:id="rId7"/>
  </sheets>
  <definedNames/>
</workbook>
</file>

<file path=xl/styles.xml><?xml version="1.0" encoding="utf-8"?>
<styleSheet xmlns="http://schemas.openxmlformats.org/spreadsheetml/2006/main">
  <numFmts count="0"/>
  <fonts count="14">
    <font>
      <name val="Carlito"/>
      <sz val="11"/>
    </font>
    <font>
      <name val="Carlito"/>
      <b val="1"/>
      <color rgb="001F2937"/>
      <sz val="16"/>
    </font>
    <font>
      <name val="Carlito"/>
      <color rgb="004B5563"/>
      <sz val="10"/>
    </font>
    <font>
      <name val="Carlito"/>
      <b val="1"/>
      <color rgb="001F2937"/>
      <sz val="11"/>
    </font>
    <font>
      <name val="Carlito"/>
      <color rgb="00374151"/>
      <sz val="10"/>
    </font>
    <font>
      <name val="Carlito"/>
      <color rgb="00111827"/>
      <sz val="10"/>
    </font>
    <font>
      <name val="Aptos"/>
      <b val="1"/>
      <color rgb="001F2937"/>
      <sz val="10"/>
    </font>
    <font>
      <name val="Aptos"/>
      <sz val="10"/>
    </font>
    <font>
      <name val="Aptos"/>
      <b val="1"/>
      <color rgb="001F2937"/>
      <sz val="16"/>
    </font>
    <font>
      <b val="1"/>
      <sz val="14"/>
    </font>
    <font>
      <i val="1"/>
      <sz val="10"/>
    </font>
    <font>
      <b val="1"/>
    </font>
    <font>
      <b val="1"/>
      <color rgb="00FFFFFF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F8F9FA"/>
      </patternFill>
    </fill>
  </fills>
  <borders count="4">
    <border/>
    <border/>
    <border>
      <bottom style="thin">
        <color rgb="00B8CBDD"/>
      </bottom>
    </border>
    <border>
      <bottom style="thin">
        <color rgb="00B8CBDD"/>
      </bottom>
    </border>
  </borders>
  <cellStyleXfs count="1">
    <xf numFmtId="0" fontId="0" fillId="0" borderId="1"/>
  </cellStyleXfs>
  <cellXfs count="31">
    <xf numFmtId="0" fontId="0" fillId="0" borderId="0" pivotButton="0" quotePrefix="0" xfId="0"/>
    <xf numFmtId="0" fontId="0" fillId="0" borderId="1" pivotButton="0" quotePrefix="0" xfId="0"/>
    <xf numFmtId="0" fontId="1" fillId="0" borderId="0" pivotButton="0" quotePrefix="0" xfId="0"/>
    <xf numFmtId="0" fontId="1" fillId="0" borderId="1" pivotButton="0" quotePrefix="0" xfId="0"/>
    <xf numFmtId="0" fontId="2" fillId="0" borderId="0" pivotButton="0" quotePrefix="0" xfId="0"/>
    <xf numFmtId="0" fontId="2" fillId="0" borderId="1" pivotButton="0" quotePrefix="0" xfId="0"/>
    <xf numFmtId="0" fontId="0" fillId="0" borderId="0" pivotButton="0" quotePrefix="0" xfId="0"/>
    <xf numFmtId="0" fontId="3" fillId="0" borderId="0" pivotButton="0" quotePrefix="0" xfId="0"/>
    <xf numFmtId="0" fontId="3" fillId="0" borderId="2" pivotButton="0" quotePrefix="0" xfId="0"/>
    <xf numFmtId="0" fontId="0" fillId="0" borderId="1" pivotButton="0" quotePrefix="0" xfId="0"/>
    <xf numFmtId="0" fontId="3" fillId="0" borderId="1" pivotButton="0" quotePrefix="0" xfId="0"/>
    <xf numFmtId="0" fontId="3" fillId="0" borderId="3" pivotButton="0" quotePrefix="0" xfId="0"/>
    <xf numFmtId="0" fontId="4" fillId="0" borderId="0" pivotButton="0" quotePrefix="0" xfId="0"/>
    <xf numFmtId="0" fontId="4" fillId="0" borderId="1" pivotButton="0" quotePrefix="0" xfId="0"/>
    <xf numFmtId="0" fontId="5" fillId="0" borderId="0" pivotButton="0" quotePrefix="0" xfId="0"/>
    <xf numFmtId="0" fontId="5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6" fillId="0" borderId="1" pivotButton="0" quotePrefix="0" xfId="0"/>
    <xf numFmtId="0" fontId="7" fillId="0" borderId="1" pivotButton="0" quotePrefix="0" xfId="0"/>
    <xf numFmtId="0" fontId="8" fillId="0" borderId="0" pivotButton="0" quotePrefix="0" xfId="0"/>
    <xf numFmtId="0" fontId="8" fillId="0" borderId="1" pivotButton="0" quotePrefix="0" xfId="0"/>
    <xf numFmtId="0" fontId="9" fillId="0" borderId="0" pivotButton="0" quotePrefix="0" xfId="0"/>
    <xf numFmtId="0" fontId="10" fillId="0" borderId="0" pivotButton="0" quotePrefix="0" xfId="0"/>
    <xf numFmtId="0" fontId="12" fillId="2" borderId="0" pivotButton="0" quotePrefix="0" xfId="0"/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13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ReadmeSummary" displayName="ReadmeSummary" ref="A4:B9" headerRowCount="1">
  <tableColumns count="2">
    <tableColumn id="1" name="項目"/>
    <tableColumn id="2" name="內容"/>
  </tableColumns>
  <tableStyleInfo name="TableStyleMedium2" showRowStripes="1"/>
</table>
</file>

<file path=xl/tables/table2.xml><?xml version="1.0" encoding="utf-8"?>
<table xmlns="http://schemas.openxmlformats.org/spreadsheetml/2006/main" id="2" name="ReadmeKpi" displayName="ReadmeKpi" ref="D4:E9" headerRowCount="1">
  <tableColumns count="2">
    <tableColumn id="1" name="KPI"/>
    <tableColumn id="2" name="公式/值"/>
  </tableColumns>
  <tableStyleInfo name="TableStyleMedium2" showRowStripes="1"/>
</table>
</file>

<file path=xl/tables/table3.xml><?xml version="1.0" encoding="utf-8"?>
<table xmlns="http://schemas.openxmlformats.org/spreadsheetml/2006/main" id="3" name="CapabilityMatrix" displayName="CapabilityMatrix" ref="A4:T38" headerRowCount="1">
  <tableColumns count="20">
    <tableColumn id="1" name="Capability ID"/>
    <tableColumn id="2" name="Capability"/>
    <tableColumn id="3" name="Capability Group"/>
    <tableColumn id="4" name="Description"/>
    <tableColumn id="5" name="Golden Path(s)"/>
    <tableColumn id="6" name="Primary User(s)"/>
    <tableColumn id="7" name="Current Maturity"/>
    <tableColumn id="8" name="Target Maturity"/>
    <tableColumn id="9" name="Acceptance Criteria"/>
    <tableColumn id="10" name="Edition Gate"/>
    <tableColumn id="11" name="Security Gate / Dependency"/>
    <tableColumn id="12" name="Compliance Mapping"/>
    <tableColumn id="13" name="Data Sensitivity"/>
    <tableColumn id="14" name="Evidence Required"/>
    <tableColumn id="15" name="External Claim"/>
    <tableColumn id="16" name="Status"/>
    <tableColumn id="17" name="Next Action"/>
    <tableColumn id="18" name="Owner"/>
    <tableColumn id="19" name="Priority"/>
    <tableColumn id="20" name="Disclosure"/>
  </tableColumns>
  <tableStyleInfo name="TableStyleMedium2" showRowStripes="1"/>
</table>
</file>

<file path=xl/tables/table4.xml><?xml version="1.0" encoding="utf-8"?>
<table xmlns="http://schemas.openxmlformats.org/spreadsheetml/2006/main" id="4" name="GoldenPaths" displayName="GoldenPaths" ref="A4:D9" headerRowCount="1">
  <tableColumns count="4">
    <tableColumn id="1" name="GP ID"/>
    <tableColumn id="2" name="Golden Path"/>
    <tableColumn id="3" name="Description"/>
    <tableColumn id="4" name="Primary Use"/>
  </tableColumns>
  <tableStyleInfo name="TableStyleMedium2" showRowStripes="1"/>
</table>
</file>

<file path=xl/tables/table5.xml><?xml version="1.0" encoding="utf-8"?>
<table xmlns="http://schemas.openxmlformats.org/spreadsheetml/2006/main" id="5" name="MaturityDefinitions" displayName="MaturityDefinitions" ref="A4:D9" headerRowCount="1">
  <tableColumns count="4">
    <tableColumn id="1" name="Level"/>
    <tableColumn id="2" name="Name"/>
    <tableColumn id="3" name="Definition"/>
    <tableColumn id="4" name="Claim Boundary"/>
  </tableColumns>
  <tableStyleInfo name="TableStyleMedium2" showRowStripes="1"/>
</table>
</file>

<file path=xl/tables/table6.xml><?xml version="1.0" encoding="utf-8"?>
<table xmlns="http://schemas.openxmlformats.org/spreadsheetml/2006/main" id="6" name="EditionGates" displayName="EditionGates" ref="A4:D8" headerRowCount="1">
  <tableColumns count="4">
    <tableColumn id="1" name="Edition"/>
    <tableColumn id="2" name="Use Case"/>
    <tableColumn id="3" name="Minimum Conditions"/>
    <tableColumn id="4" name="Disclosure / Deliverable Level"/>
  </tableColumns>
  <tableStyleInfo name="TableStyleMedium2" showRowStripes="1"/>
</table>
</file>

<file path=xl/tables/table7.xml><?xml version="1.0" encoding="utf-8"?>
<table xmlns="http://schemas.openxmlformats.org/spreadsheetml/2006/main" id="7" name="AcceptanceEvidence" displayName="AcceptanceEvidence" ref="A4:D14" headerRowCount="1">
  <tableColumns count="4">
    <tableColumn id="1" name="Capability"/>
    <tableColumn id="2" name="Evidence Required"/>
    <tableColumn id="3" name="Edition / Gate"/>
    <tableColumn id="4" name="Owner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2" customWidth="1" style="6" min="1" max="1"/>
    <col width="20" customWidth="1" style="6" min="2" max="2"/>
    <col width="28" customWidth="1" style="6" min="3" max="3"/>
    <col width="18" customWidth="1" style="6" min="4" max="4"/>
    <col width="14" customWidth="1" style="6" min="5" max="5"/>
    <col width="50" customWidth="1" style="6" min="6" max="6"/>
    <col width="14" customWidth="1" style="6" min="7" max="7"/>
  </cols>
  <sheetData>
    <row r="1">
      <c r="A1" s="22" t="inlineStr">
        <is>
          <t>ICS_DMAS Release Dashboard (Tab 1 — Human View)</t>
        </is>
      </c>
    </row>
    <row r="2">
      <c r="A2" s="23" t="inlineStr">
        <is>
          <t>受眾：Human owner / 業務 / 投標。技術細節 → Capability Matrix sheet。由 Matrix Steward 每次 Issue 關閉後更新。</t>
        </is>
      </c>
    </row>
    <row r="4">
      <c r="A4" s="24" t="inlineStr">
        <is>
          <t>Release</t>
        </is>
      </c>
      <c r="B4" s="24" t="inlineStr">
        <is>
          <t>Edition</t>
        </is>
      </c>
      <c r="C4" s="24" t="inlineStr">
        <is>
          <t>P0 Issues</t>
        </is>
      </c>
      <c r="D4" s="24" t="inlineStr">
        <is>
          <t>P1 Issues</t>
        </is>
      </c>
      <c r="E4" s="24" t="inlineStr">
        <is>
          <t>Status</t>
        </is>
      </c>
      <c r="F4" s="24" t="inlineStr">
        <is>
          <t>Claims unlocked</t>
        </is>
      </c>
      <c r="G4" s="24" t="inlineStr">
        <is>
          <t>Last updated</t>
        </is>
      </c>
    </row>
    <row r="5">
      <c r="A5" s="25" t="inlineStr">
        <is>
          <t>v0.12.x</t>
        </is>
      </c>
      <c r="B5" s="25" t="inlineStr">
        <is>
          <t>Demo</t>
        </is>
      </c>
      <c r="C5" s="25" t="inlineStr">
        <is>
          <t>—</t>
        </is>
      </c>
      <c r="D5" s="25" t="inlineStr">
        <is>
          <t>—</t>
        </is>
      </c>
      <c r="E5" s="25" t="inlineStr">
        <is>
          <t>✅ closed</t>
        </is>
      </c>
      <c r="F5" s="25" t="inlineStr">
        <is>
          <t>可展示 ICS 基本 COP 流程</t>
        </is>
      </c>
      <c r="G5" s="25" t="inlineStr">
        <is>
          <t>2026-04</t>
        </is>
      </c>
    </row>
    <row r="6">
      <c r="A6" s="26" t="inlineStr">
        <is>
          <t>v0.13.0</t>
        </is>
      </c>
      <c r="B6" s="26" t="inlineStr">
        <is>
          <t>Demo</t>
        </is>
      </c>
      <c r="C6" s="26" t="inlineStr">
        <is>
          <t>#6 ✅</t>
        </is>
      </c>
      <c r="D6" s="26" t="inlineStr">
        <is>
          <t>—</t>
        </is>
      </c>
      <c r="E6" s="26" t="inlineStr">
        <is>
          <t>🔄 in progress</t>
        </is>
      </c>
      <c r="F6" s="26" t="inlineStr">
        <is>
          <t>Pi 部署需 IT 人員一次性 token；fresh DB 不含預設帳號</t>
        </is>
      </c>
      <c r="G6" s="26" t="inlineStr">
        <is>
          <t>2026-04-27</t>
        </is>
      </c>
    </row>
    <row r="7">
      <c r="A7" s="26" t="inlineStr">
        <is>
          <t>v2.1.0</t>
        </is>
      </c>
      <c r="B7" s="26" t="inlineStr">
        <is>
          <t>Exercise Pro</t>
        </is>
      </c>
      <c r="C7" s="26" t="inlineStr">
        <is>
          <t>#6✅ #8✅ #11🔄 + TBD</t>
        </is>
      </c>
      <c r="D7" s="26" t="inlineStr">
        <is>
          <t>TBD</t>
        </is>
      </c>
      <c r="E7" s="26" t="inlineStr">
        <is>
          <t>🔄 building</t>
        </is>
      </c>
      <c r="F7" s="26" t="inlineStr">
        <is>
          <t>NIST 800-53 Moderate (scoped) · 個資法§27 · 附表十 12項 · 可投標縣市政府演訓採購</t>
        </is>
      </c>
      <c r="G7" s="26" t="inlineStr">
        <is>
          <t>2026-04-27</t>
        </is>
      </c>
    </row>
    <row r="8">
      <c r="A8" s="27" t="inlineStr">
        <is>
          <t>v2.2.0</t>
        </is>
      </c>
      <c r="B8" s="27" t="inlineStr">
        <is>
          <t>GovOps</t>
        </is>
      </c>
      <c r="C8" s="27" t="inlineStr">
        <is>
          <t>—</t>
        </is>
      </c>
      <c r="D8" s="27" t="inlineStr">
        <is>
          <t>TBD</t>
        </is>
      </c>
      <c r="E8" s="27" t="inlineStr">
        <is>
          <t>🔲 planned</t>
        </is>
      </c>
      <c r="F8" s="27" t="inlineStr">
        <is>
          <t>第一個可銷售版本，含部署維運完整支援</t>
        </is>
      </c>
      <c r="G8" s="27" t="inlineStr">
        <is>
          <t>—</t>
        </is>
      </c>
    </row>
    <row r="9">
      <c r="A9" s="27" t="inlineStr">
        <is>
          <t>v3.0.0</t>
        </is>
      </c>
      <c r="B9" s="27" t="inlineStr">
        <is>
          <t>GovOps + TTX</t>
        </is>
      </c>
      <c r="C9" s="27" t="inlineStr">
        <is>
          <t>—</t>
        </is>
      </c>
      <c r="D9" s="27" t="inlineStr">
        <is>
          <t>—</t>
        </is>
      </c>
      <c r="E9" s="27" t="inlineStr">
        <is>
          <t>🔲 planned</t>
        </is>
      </c>
      <c r="F9" s="27" t="inlineStr">
        <is>
          <t>HSEEP 演習管理對齊；ICS/NIMS 作業流程支援</t>
        </is>
      </c>
      <c r="G9" s="27" t="inlineStr">
        <is>
          <t>—</t>
        </is>
      </c>
    </row>
    <row r="10">
      <c r="A10" s="27" t="inlineStr">
        <is>
          <t>v3.1.0</t>
        </is>
      </c>
      <c r="B10" s="27" t="inlineStr">
        <is>
          <t>AI differentiation</t>
        </is>
      </c>
      <c r="C10" s="27" t="inlineStr">
        <is>
          <t>—</t>
        </is>
      </c>
      <c r="D10" s="27" t="inlineStr">
        <is>
          <t>—</t>
        </is>
      </c>
      <c r="E10" s="27" t="inlineStr">
        <is>
          <t>🔲 planned</t>
        </is>
      </c>
      <c r="F10" s="27" t="inlineStr">
        <is>
          <t>Silent Scribe STT；AI predict layer</t>
        </is>
      </c>
      <c r="G10" s="27" t="inlineStr">
        <is>
          <t>—</t>
        </is>
      </c>
    </row>
    <row r="11">
      <c r="A11" s="27" t="inlineStr">
        <is>
          <t>v3.2.0</t>
        </is>
      </c>
      <c r="B11" s="27" t="inlineStr">
        <is>
          <t>Flagship + ISO</t>
        </is>
      </c>
      <c r="C11" s="27" t="inlineStr">
        <is>
          <t>—</t>
        </is>
      </c>
      <c r="D11" s="27" t="inlineStr">
        <is>
          <t>—</t>
        </is>
      </c>
      <c r="E11" s="27" t="inlineStr">
        <is>
          <t>🔲 planned</t>
        </is>
      </c>
      <c r="F11" s="27" t="inlineStr">
        <is>
          <t>ISO 27001 / CNS 27001</t>
        </is>
      </c>
      <c r="G11" s="27" t="inlineStr">
        <is>
          <t>—</t>
        </is>
      </c>
    </row>
    <row r="13">
      <c r="A13" s="28" t="inlineStr">
        <is>
          <t>Issue → Capability Traceability Index</t>
        </is>
      </c>
    </row>
    <row r="14">
      <c r="A14" s="24" t="inlineStr">
        <is>
          <t>Issue#</t>
        </is>
      </c>
      <c r="B14" s="24" t="inlineStr">
        <is>
          <t>Title</t>
        </is>
      </c>
      <c r="C14" s="24" t="inlineStr">
        <is>
          <t>CAP affected</t>
        </is>
      </c>
      <c r="D14" s="24" t="inlineStr">
        <is>
          <t>GAP closed</t>
        </is>
      </c>
      <c r="E14" s="24" t="inlineStr">
        <is>
          <t>Release</t>
        </is>
      </c>
      <c r="F14" s="24" t="inlineStr">
        <is>
          <t>PR#</t>
        </is>
      </c>
      <c r="G14" s="24" t="inlineStr">
        <is>
          <t>Status</t>
        </is>
      </c>
      <c r="H14" s="24" t="inlineStr">
        <is>
          <t>Closed date</t>
        </is>
      </c>
    </row>
    <row r="15">
      <c r="A15" s="29" t="inlineStr">
        <is>
          <t>#6</t>
        </is>
      </c>
      <c r="B15" s="29" t="inlineStr">
        <is>
          <t>Pi first-run security</t>
        </is>
      </c>
      <c r="C15" s="29" t="inlineStr">
        <is>
          <t>CAP-010 (FieldSync)</t>
        </is>
      </c>
      <c r="D15" s="29" t="inlineStr">
        <is>
          <t>GAP-AUTH-PI-01</t>
        </is>
      </c>
      <c r="E15" s="29" t="inlineStr">
        <is>
          <t>v0.13.0 + v2.1.0</t>
        </is>
      </c>
      <c r="F15" s="29" t="inlineStr">
        <is>
          <t>#7</t>
        </is>
      </c>
      <c r="G15" s="29" t="inlineStr">
        <is>
          <t>✅ closed</t>
        </is>
      </c>
      <c r="H15" s="29" t="inlineStr">
        <is>
          <t>2026-04-26</t>
        </is>
      </c>
    </row>
    <row r="16">
      <c r="A16" s="29" t="inlineStr">
        <is>
          <t>#8</t>
        </is>
      </c>
      <c r="B16" s="29" t="inlineStr">
        <is>
          <t>WebSocket pre-auth gate</t>
        </is>
      </c>
      <c r="C16" s="29" t="inlineStr">
        <is>
          <t>CAP-013 (WSAuth), CAP-010</t>
        </is>
      </c>
      <c r="D16" s="29" t="inlineStr">
        <is>
          <t>GAP-AUTH-02, GAP-SYNC-17</t>
        </is>
      </c>
      <c r="E16" s="29" t="inlineStr">
        <is>
          <t>v2.1.0</t>
        </is>
      </c>
      <c r="F16" s="29" t="inlineStr">
        <is>
          <t>#9</t>
        </is>
      </c>
      <c r="G16" s="29" t="inlineStr">
        <is>
          <t>✅ closed</t>
        </is>
      </c>
      <c r="H16" s="29" t="inlineStr">
        <is>
          <t>2026-04-26</t>
        </is>
      </c>
    </row>
    <row r="17">
      <c r="A17" s="30" t="inlineStr">
        <is>
          <t>#11</t>
        </is>
      </c>
      <c r="B17" s="30" t="inlineStr">
        <is>
          <t>Trusted Ingest HMAC</t>
        </is>
      </c>
      <c r="C17" s="30" t="inlineStr">
        <is>
          <t>CAP-012 (TrustedIngest), CAP-010</t>
        </is>
      </c>
      <c r="D17" s="30" t="inlineStr">
        <is>
          <t>GAP-SYNC-05</t>
        </is>
      </c>
      <c r="E17" s="30" t="inlineStr">
        <is>
          <t>v2.1.0</t>
        </is>
      </c>
      <c r="F17" s="30" t="inlineStr">
        <is>
          <t>#12</t>
        </is>
      </c>
      <c r="G17" s="30" t="inlineStr">
        <is>
          <t>🔄 in progress</t>
        </is>
      </c>
      <c r="H17" s="30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cols>
    <col width="22" customWidth="1" style="6" min="1" max="1"/>
    <col width="88" customWidth="1" style="6" min="2" max="2"/>
    <col width="26" customWidth="1" style="6" min="4" max="4"/>
    <col width="24" customWidth="1" style="6" min="5" max="5"/>
  </cols>
  <sheetData>
    <row r="1" ht="28" customHeight="1" s="6">
      <c r="A1" s="21" t="inlineStr">
        <is>
          <t>ICS_DMAS Master Capability Matrix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17" t="n"/>
      <c r="L1" s="17" t="n"/>
      <c r="M1" s="17" t="n"/>
      <c r="N1" s="17" t="n"/>
      <c r="O1" s="17" t="n"/>
      <c r="P1" s="17" t="n"/>
      <c r="Q1" s="17" t="n"/>
      <c r="R1" s="17" t="n"/>
      <c r="S1" s="17" t="n"/>
      <c r="T1" s="17" t="n"/>
      <c r="U1" s="17" t="n"/>
      <c r="V1" s="17" t="n"/>
      <c r="W1" s="17" t="n"/>
      <c r="X1" s="17" t="n"/>
      <c r="Y1" s="17" t="n"/>
      <c r="Z1" s="17" t="n"/>
    </row>
    <row r="2" ht="34" customHeight="1" s="6">
      <c r="A2" s="5" t="inlineStr">
        <is>
          <t>功能能力總矩陣：把功能、Golden Path、成熟度、版本 gate、資安/合規與驗收證據收斂為單一總控表。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9" t="n"/>
    </row>
    <row r="4">
      <c r="A4" s="8" t="inlineStr">
        <is>
          <t>項目</t>
        </is>
      </c>
      <c r="B4" s="8" t="inlineStr">
        <is>
          <t>內容</t>
        </is>
      </c>
      <c r="D4" s="8" t="inlineStr">
        <is>
          <t>KPI</t>
        </is>
      </c>
      <c r="E4" s="8" t="inlineStr">
        <is>
          <t>公式/值</t>
        </is>
      </c>
    </row>
    <row r="5">
      <c r="A5" s="12" t="inlineStr">
        <is>
          <t>目的</t>
        </is>
      </c>
      <c r="B5" s="12" t="inlineStr">
        <is>
          <t>作為產品、工程、資安、合規、業務與客戶驗收之共用 capability index。</t>
        </is>
      </c>
      <c r="D5" s="12" t="inlineStr">
        <is>
          <t>Total capabilities</t>
        </is>
      </c>
      <c r="E5" s="12">
        <f>COUNTA('Capability Matrix'!A2:A35)</f>
        <v/>
      </c>
    </row>
    <row r="6">
      <c r="A6" s="12" t="inlineStr">
        <is>
          <t>主表</t>
        </is>
      </c>
      <c r="B6" s="12" t="inlineStr">
        <is>
          <t>Capability Matrix：每個 capability 一列，包含 Golden Path、maturity、acceptance、edition gate、security gate、evidence、claim。</t>
        </is>
      </c>
      <c r="D6" s="12" t="inlineStr">
        <is>
          <t>P0 capabilities</t>
        </is>
      </c>
      <c r="E6" s="12">
        <f>COUNTIF('Capability Matrix'!S2:S35,"P0")</f>
        <v/>
      </c>
    </row>
    <row r="7">
      <c r="A7" s="12" t="inlineStr">
        <is>
          <t>Golden Paths</t>
        </is>
      </c>
      <c r="B7" s="12" t="inlineStr">
        <is>
          <t>GP1 TTX→AAR、GP2 現場回報→COP、GP3 離線同步→AAR、GP4 部署驗收、GP5 真實災害/IR/DR。</t>
        </is>
      </c>
      <c r="D7" s="12" t="inlineStr">
        <is>
          <t>Internal only rows</t>
        </is>
      </c>
      <c r="E7" s="12">
        <f>COUNTIF('Capability Matrix'!T2:T35,"Internal Only")</f>
        <v/>
      </c>
    </row>
    <row r="8">
      <c r="A8" s="12" t="inlineStr">
        <is>
          <t>優先 P0</t>
        </is>
      </c>
      <c r="B8" s="12" t="inlineStr">
        <is>
          <t>Trusted Ingest、WebSocket Pre-auth Gate、Pi/Field Node Sync、QR Offline Snapshot、TTX Inject、Edition Gate、Claim Guardrail。</t>
        </is>
      </c>
      <c r="D8" s="12" t="inlineStr">
        <is>
          <t>Not Started</t>
        </is>
      </c>
      <c r="E8" s="12">
        <f>COUNTIF('Capability Matrix'!P2:P35,"Not Started")</f>
        <v/>
      </c>
    </row>
    <row r="9">
      <c r="A9" s="12" t="inlineStr">
        <is>
          <t>建議使用</t>
        </is>
      </c>
      <c r="B9" s="12" t="inlineStr">
        <is>
          <t>用篩選器查看 P0、GP1、Exercise Pro、GovOps、L0/L1、Internal Only 等。</t>
        </is>
      </c>
      <c r="D9" s="12" t="inlineStr">
        <is>
          <t>Needs Hotfix / Hardening</t>
        </is>
      </c>
      <c r="E9" s="12">
        <f>COUNTIF('Capability Matrix'!P2:P35,"Needs*")</f>
        <v/>
      </c>
    </row>
  </sheetData>
  <mergeCells count="2">
    <mergeCell ref="A1:J1"/>
    <mergeCell ref="A2:J2"/>
  </mergeCells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8"/>
  <sheetViews>
    <sheetView workbookViewId="0">
      <selection activeCell="A1" sqref="A1"/>
    </sheetView>
  </sheetViews>
  <sheetFormatPr baseColWidth="8" defaultRowHeight="15"/>
  <cols>
    <col width="12" customWidth="1" style="6" min="1" max="1"/>
    <col width="24" customWidth="1" style="6" min="2" max="2"/>
    <col width="20" customWidth="1" style="6" min="3" max="3"/>
    <col width="42" customWidth="1" style="6" min="4" max="4"/>
    <col width="18" customWidth="1" style="6" min="5" max="5"/>
    <col width="22" customWidth="1" style="6" min="6" max="6"/>
    <col width="16" customWidth="1" style="6" min="7" max="7"/>
    <col width="16" customWidth="1" style="6" min="8" max="8"/>
    <col width="55" customWidth="1" style="6" min="9" max="9"/>
    <col width="22" customWidth="1" style="6" min="10" max="10"/>
    <col width="40" customWidth="1" style="6" min="11" max="11"/>
    <col width="32" customWidth="1" style="6" min="12" max="12"/>
    <col width="22" customWidth="1" style="6" min="13" max="13"/>
    <col width="45" customWidth="1" style="6" min="14" max="14"/>
    <col width="36" customWidth="1" style="6" min="15" max="15"/>
    <col width="18" customWidth="1" style="6" min="16" max="16"/>
    <col width="42" customWidth="1" style="6" min="17" max="17"/>
    <col width="22" customWidth="1" style="6" min="18" max="18"/>
    <col width="10" customWidth="1" style="6" min="19" max="19"/>
    <col width="22" customWidth="1" style="6" min="20" max="20"/>
  </cols>
  <sheetData>
    <row r="1" ht="28" customHeight="1" s="6">
      <c r="A1" s="21" t="inlineStr">
        <is>
          <t>Capability Matrix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9" t="n"/>
      <c r="L1" s="9" t="n"/>
      <c r="M1" s="9" t="n"/>
      <c r="N1" s="9" t="n"/>
      <c r="O1" s="9" t="n"/>
      <c r="P1" s="9" t="n"/>
      <c r="Q1" s="9" t="n"/>
      <c r="R1" s="9" t="n"/>
      <c r="S1" s="9" t="n"/>
      <c r="T1" s="9" t="n"/>
      <c r="U1" s="17" t="n"/>
      <c r="V1" s="17" t="n"/>
      <c r="W1" s="17" t="n"/>
      <c r="X1" s="17" t="n"/>
      <c r="Y1" s="17" t="n"/>
      <c r="Z1" s="17" t="n"/>
    </row>
    <row r="2" ht="34" customHeight="1" s="6">
      <c r="A2" s="5" t="inlineStr">
        <is>
          <t>主表：每列是一項能力，連結 Golden Path、成熟度、版本、資安/合規 gate、驗收證據與下一步。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</row>
    <row r="3"/>
    <row r="4" ht="42" customHeight="1" s="6">
      <c r="A4" s="8" t="inlineStr">
        <is>
          <t>Capability ID</t>
        </is>
      </c>
      <c r="B4" s="8" t="inlineStr">
        <is>
          <t>Capability</t>
        </is>
      </c>
      <c r="C4" s="8" t="inlineStr">
        <is>
          <t>Capability Group</t>
        </is>
      </c>
      <c r="D4" s="8" t="inlineStr">
        <is>
          <t>Description</t>
        </is>
      </c>
      <c r="E4" s="8" t="inlineStr">
        <is>
          <t>Golden Path(s)</t>
        </is>
      </c>
      <c r="F4" s="8" t="inlineStr">
        <is>
          <t>Primary User(s)</t>
        </is>
      </c>
      <c r="G4" s="8" t="inlineStr">
        <is>
          <t>Current Maturity</t>
        </is>
      </c>
      <c r="H4" s="8" t="inlineStr">
        <is>
          <t>Target Maturity</t>
        </is>
      </c>
      <c r="I4" s="8" t="inlineStr">
        <is>
          <t>Acceptance Criteria</t>
        </is>
      </c>
      <c r="J4" s="8" t="inlineStr">
        <is>
          <t>Edition Gate</t>
        </is>
      </c>
      <c r="K4" s="8" t="inlineStr">
        <is>
          <t>Security Gate / Dependency</t>
        </is>
      </c>
      <c r="L4" s="8" t="inlineStr">
        <is>
          <t>Compliance Mapping</t>
        </is>
      </c>
      <c r="M4" s="8" t="inlineStr">
        <is>
          <t>Data Sensitivity</t>
        </is>
      </c>
      <c r="N4" s="8" t="inlineStr">
        <is>
          <t>Evidence Required</t>
        </is>
      </c>
      <c r="O4" s="8" t="inlineStr">
        <is>
          <t>External Claim</t>
        </is>
      </c>
      <c r="P4" s="8" t="inlineStr">
        <is>
          <t>Status</t>
        </is>
      </c>
      <c r="Q4" s="8" t="inlineStr">
        <is>
          <t>Next Action</t>
        </is>
      </c>
      <c r="R4" s="8" t="inlineStr">
        <is>
          <t>Owner</t>
        </is>
      </c>
      <c r="S4" s="8" t="inlineStr">
        <is>
          <t>Priority</t>
        </is>
      </c>
      <c r="T4" s="8" t="inlineStr">
        <is>
          <t>Disclosure</t>
        </is>
      </c>
    </row>
    <row r="5" ht="70" customHeight="1" s="6">
      <c r="A5" s="14" t="inlineStr">
        <is>
          <t>CAP-001</t>
        </is>
      </c>
      <c r="B5" s="14" t="inlineStr">
        <is>
          <t>TTX Scenario Database</t>
        </is>
      </c>
      <c r="C5" s="14" t="inlineStr">
        <is>
          <t>TTX / Exercise</t>
        </is>
      </c>
      <c r="D5" s="14" t="inlineStr">
        <is>
          <t>建立、版本化與載入演訓劇本、情境庫、注入時間軸。</t>
        </is>
      </c>
      <c r="E5" s="14" t="inlineStr">
        <is>
          <t>GP1</t>
        </is>
      </c>
      <c r="F5" s="14" t="inlineStr">
        <is>
          <t>演訓導控、PM</t>
        </is>
      </c>
      <c r="G5" s="14" t="inlineStr">
        <is>
          <t>L1</t>
        </is>
      </c>
      <c r="H5" s="14" t="inlineStr">
        <is>
          <t>L2</t>
        </is>
      </c>
      <c r="I5" s="14" t="inlineStr">
        <is>
          <t>可建立劇本、版本、inject 清單；可載入場次；可匯出劇本摘要。</t>
        </is>
      </c>
      <c r="J5" s="14" t="inlineStr">
        <is>
          <t>Exercise Pro</t>
        </is>
      </c>
      <c r="K5" s="14" t="inlineStr">
        <is>
          <t>需 session 隔離；資料不可污染 real session。</t>
        </is>
      </c>
      <c r="L5" s="14" t="inlineStr">
        <is>
          <t>HSEEP / MSEL alignment</t>
        </is>
      </c>
      <c r="M5" s="14" t="inlineStr">
        <is>
          <t>Low–Medium：演訓資料</t>
        </is>
      </c>
      <c r="N5" s="14" t="inlineStr">
        <is>
          <t>劇本匯出、場次紀錄、操作截圖</t>
        </is>
      </c>
      <c r="O5" s="14" t="inlineStr">
        <is>
          <t>支援受控 TTX 劇本管理</t>
        </is>
      </c>
      <c r="P5" s="14" t="inlineStr">
        <is>
          <t>Partial</t>
        </is>
      </c>
      <c r="Q5" s="14" t="inlineStr">
        <is>
          <t>定義劇本 schema、版本規則與 import/export</t>
        </is>
      </c>
      <c r="R5" s="14" t="inlineStr">
        <is>
          <t>Product / TTX</t>
        </is>
      </c>
      <c r="S5" s="14" t="inlineStr">
        <is>
          <t>P1</t>
        </is>
      </c>
      <c r="T5" s="14" t="inlineStr">
        <is>
          <t>Customer Deliverable</t>
        </is>
      </c>
    </row>
    <row r="6" ht="70" customHeight="1" s="6">
      <c r="A6" s="14" t="inlineStr">
        <is>
          <t>CAP-002</t>
        </is>
      </c>
      <c r="B6" s="14" t="inlineStr">
        <is>
          <t>TTX Inject</t>
        </is>
      </c>
      <c r="C6" s="14" t="inlineStr">
        <is>
          <t>TTX / Exercise</t>
        </is>
      </c>
      <c r="D6" s="14" t="inlineStr">
        <is>
          <t>依時間、對象、條件注入狀況，記錄送達、閱讀與回應。</t>
        </is>
      </c>
      <c r="E6" s="14" t="inlineStr">
        <is>
          <t>GP1</t>
        </is>
      </c>
      <c r="F6" s="14" t="inlineStr">
        <is>
          <t>演訓導控、各組操作員</t>
        </is>
      </c>
      <c r="G6" s="14" t="inlineStr">
        <is>
          <t>L1</t>
        </is>
      </c>
      <c r="H6" s="14" t="inlineStr">
        <is>
          <t>L3</t>
        </is>
      </c>
      <c r="I6" s="14" t="inlineStr">
        <is>
          <t>可排程、指定對象、記錄送達/閱讀/回應；L3 需 inject 簽章與 audit。</t>
        </is>
      </c>
      <c r="J6" s="14" t="inlineStr">
        <is>
          <t>Exercise Pro / GovOps</t>
        </is>
      </c>
      <c r="K6" s="14" t="inlineStr">
        <is>
          <t>Trusted Ingest；inject signature；TTX/real session mutex。</t>
        </is>
      </c>
      <c r="L6" s="14" t="inlineStr">
        <is>
          <t>HSEEP / MSEL</t>
        </is>
      </c>
      <c r="M6" s="14" t="inlineStr">
        <is>
          <t>Medium：演訓導控資料</t>
        </is>
      </c>
      <c r="N6" s="14" t="inlineStr">
        <is>
          <t>inject log、audit log、簽章驗證測試</t>
        </is>
      </c>
      <c r="O6" s="14" t="inlineStr">
        <is>
          <t>支援 MSEL 式狀況注入</t>
        </is>
      </c>
      <c r="P6" s="14" t="inlineStr">
        <is>
          <t>Partial</t>
        </is>
      </c>
      <c r="Q6" s="14" t="inlineStr">
        <is>
          <t>補 inject 簽章、read receipt、session mutex 驗收</t>
        </is>
      </c>
      <c r="R6" s="14" t="inlineStr">
        <is>
          <t>TTX / Security</t>
        </is>
      </c>
      <c r="S6" s="14" t="inlineStr">
        <is>
          <t>P0</t>
        </is>
      </c>
      <c r="T6" s="14" t="inlineStr">
        <is>
          <t>Internal + Customer Summary</t>
        </is>
      </c>
    </row>
    <row r="7" ht="70" customHeight="1" s="6">
      <c r="A7" s="14" t="inlineStr">
        <is>
          <t>CAP-003</t>
        </is>
      </c>
      <c r="B7" s="14" t="inlineStr">
        <is>
          <t>TTX Session Control</t>
        </is>
      </c>
      <c r="C7" s="14" t="inlineStr">
        <is>
          <t>TTX / Exercise</t>
        </is>
      </c>
      <c r="D7" s="14" t="inlineStr">
        <is>
          <t>演訓場次啟動、暫停、加速、結束、封存與 real session 隔離。</t>
        </is>
      </c>
      <c r="E7" s="14" t="inlineStr">
        <is>
          <t>GP1</t>
        </is>
      </c>
      <c r="F7" s="14" t="inlineStr">
        <is>
          <t>演訓導控、PM</t>
        </is>
      </c>
      <c r="G7" s="14" t="inlineStr">
        <is>
          <t>L1</t>
        </is>
      </c>
      <c r="H7" s="14" t="inlineStr">
        <is>
          <t>L3</t>
        </is>
      </c>
      <c r="I7" s="14" t="inlineStr">
        <is>
          <t>場次狀態可切換；real/TTX 資料硬隔離；封存後不可竄改。</t>
        </is>
      </c>
      <c r="J7" s="14" t="inlineStr">
        <is>
          <t>Exercise Pro / GovOps</t>
        </is>
      </c>
      <c r="K7" s="14" t="inlineStr">
        <is>
          <t>session mutex；RBAC；audit evidence。</t>
        </is>
      </c>
      <c r="L7" s="14" t="inlineStr">
        <is>
          <t>HSEEP / AAR-IP</t>
        </is>
      </c>
      <c r="M7" s="14" t="inlineStr">
        <is>
          <t>Medium</t>
        </is>
      </c>
      <c r="N7" s="14" t="inlineStr">
        <is>
          <t>session 狀態紀錄、隔離測試、封存紀錄</t>
        </is>
      </c>
      <c r="O7" s="14" t="inlineStr">
        <is>
          <t>支援受控演訓場次管理</t>
        </is>
      </c>
      <c r="P7" s="14" t="inlineStr">
        <is>
          <t>Partial</t>
        </is>
      </c>
      <c r="Q7" s="14" t="inlineStr">
        <is>
          <t>明確 TTX session lifecycle 與封存規則</t>
        </is>
      </c>
      <c r="R7" s="14" t="inlineStr">
        <is>
          <t>Product / Backend</t>
        </is>
      </c>
      <c r="S7" s="14" t="inlineStr">
        <is>
          <t>P1</t>
        </is>
      </c>
      <c r="T7" s="14" t="inlineStr">
        <is>
          <t>Customer Deliverable</t>
        </is>
      </c>
    </row>
    <row r="8" ht="70" customHeight="1" s="6">
      <c r="A8" s="14" t="inlineStr">
        <is>
          <t>CAP-004</t>
        </is>
      </c>
      <c r="B8" s="14" t="inlineStr">
        <is>
          <t>Command COP</t>
        </is>
      </c>
      <c r="C8" s="14" t="inlineStr">
        <is>
          <t>Command / COP</t>
        </is>
      </c>
      <c r="D8" s="14" t="inlineStr">
        <is>
          <t>指揮官態勢總覽：事件、資源、異常、來源時間、告警與趨勢。</t>
        </is>
      </c>
      <c r="E8" s="14" t="inlineStr">
        <is>
          <t>GP2</t>
        </is>
      </c>
      <c r="F8" s="14" t="inlineStr">
        <is>
          <t>指揮官、幕僚</t>
        </is>
      </c>
      <c r="G8" s="14" t="inlineStr">
        <is>
          <t>L1</t>
        </is>
      </c>
      <c r="H8" s="14" t="inlineStr">
        <is>
          <t>L2</t>
        </is>
      </c>
      <c r="I8" s="14" t="inlineStr">
        <is>
          <t>10 秒內看見關鍵態勢；事件/資源/異常有來源時間；可篩選與 drill-down。</t>
        </is>
      </c>
      <c r="J8" s="14" t="inlineStr">
        <is>
          <t>Exercise Pro</t>
        </is>
      </c>
      <c r="K8" s="14" t="inlineStr">
        <is>
          <t>snapshot/sync 需可信；資料衝突需標示。</t>
        </is>
      </c>
      <c r="L8" s="14" t="inlineStr">
        <is>
          <t>NIMS Communications &amp; Information Management</t>
        </is>
      </c>
      <c r="M8" s="14" t="inlineStr">
        <is>
          <t>Medium–High：視輸入資料</t>
        </is>
      </c>
      <c r="N8" s="14" t="inlineStr">
        <is>
          <t>UI 截圖、E2E 測試、資料來源標記</t>
        </is>
      </c>
      <c r="O8" s="14" t="inlineStr">
        <is>
          <t>支援受控演訓 COP</t>
        </is>
      </c>
      <c r="P8" s="14" t="inlineStr">
        <is>
          <t>Partial</t>
        </is>
      </c>
      <c r="Q8" s="14" t="inlineStr">
        <is>
          <t>定義 COP 最小資訊架構與衝突提示</t>
        </is>
      </c>
      <c r="R8" s="14" t="inlineStr">
        <is>
          <t>Product / Frontend</t>
        </is>
      </c>
      <c r="S8" s="14" t="inlineStr">
        <is>
          <t>P1</t>
        </is>
      </c>
      <c r="T8" s="14" t="inlineStr">
        <is>
          <t>Customer Deliverable</t>
        </is>
      </c>
    </row>
    <row r="9" ht="70" customHeight="1" s="6">
      <c r="A9" s="14" t="inlineStr">
        <is>
          <t>CAP-005</t>
        </is>
      </c>
      <c r="B9" s="14" t="inlineStr">
        <is>
          <t>Event Timeline</t>
        </is>
      </c>
      <c r="C9" s="14" t="inlineStr">
        <is>
          <t>Command / COP</t>
        </is>
      </c>
      <c r="D9" s="14" t="inlineStr">
        <is>
          <t>將 inject、現場回報、決策、任務、同步事件串成時間線。</t>
        </is>
      </c>
      <c r="E9" s="14" t="inlineStr">
        <is>
          <t>GP1, GP2, GP3</t>
        </is>
      </c>
      <c r="F9" s="14" t="inlineStr">
        <is>
          <t>指揮官、AAR 分析者</t>
        </is>
      </c>
      <c r="G9" s="14" t="inlineStr">
        <is>
          <t>L1</t>
        </is>
      </c>
      <c r="H9" s="14" t="inlineStr">
        <is>
          <t>L3</t>
        </is>
      </c>
      <c r="I9" s="14" t="inlineStr">
        <is>
          <t>可按時間重建事件；L3 需區分當時已知與事後補充。</t>
        </is>
      </c>
      <c r="J9" s="14" t="inlineStr">
        <is>
          <t>Exercise Pro / GovOps</t>
        </is>
      </c>
      <c r="K9" s="14" t="inlineStr">
        <is>
          <t>audit log；clock sync；trusted ingest。</t>
        </is>
      </c>
      <c r="L9" s="14" t="inlineStr">
        <is>
          <t>ICS 214 / AAR evidence</t>
        </is>
      </c>
      <c r="M9" s="14" t="inlineStr">
        <is>
          <t>Medium–High</t>
        </is>
      </c>
      <c r="N9" s="14" t="inlineStr">
        <is>
          <t>timeline 匯出、audit 對照、回放測試</t>
        </is>
      </c>
      <c r="O9" s="14" t="inlineStr">
        <is>
          <t>支援演訓事件時間線</t>
        </is>
      </c>
      <c r="P9" s="14" t="inlineStr">
        <is>
          <t>Partial</t>
        </is>
      </c>
      <c r="Q9" s="14" t="inlineStr">
        <is>
          <t>建立 timeline source model 與 replay view</t>
        </is>
      </c>
      <c r="R9" s="14" t="inlineStr">
        <is>
          <t>Backend / AAR</t>
        </is>
      </c>
      <c r="S9" s="14" t="inlineStr">
        <is>
          <t>P1</t>
        </is>
      </c>
      <c r="T9" s="14" t="inlineStr">
        <is>
          <t>Customer Deliverable</t>
        </is>
      </c>
    </row>
    <row r="10" ht="70" customHeight="1" s="6">
      <c r="A10" s="14" t="inlineStr">
        <is>
          <t>CAP-006</t>
        </is>
      </c>
      <c r="B10" s="14" t="inlineStr">
        <is>
          <t>Decision Record</t>
        </is>
      </c>
      <c r="C10" s="14" t="inlineStr">
        <is>
          <t>Command / Workflow</t>
        </is>
      </c>
      <c r="D10" s="14" t="inlineStr">
        <is>
          <t>記錄決策者、時間、依據、決策內容、影響事件與後續任務。</t>
        </is>
      </c>
      <c r="E10" s="14" t="inlineStr">
        <is>
          <t>GP1, GP2</t>
        </is>
      </c>
      <c r="F10" s="14" t="inlineStr">
        <is>
          <t>指揮官、幕僚</t>
        </is>
      </c>
      <c r="G10" s="14" t="inlineStr">
        <is>
          <t>L0</t>
        </is>
      </c>
      <c r="H10" s="14" t="inlineStr">
        <is>
          <t>L3</t>
        </is>
      </c>
      <c r="I10" s="14" t="inlineStr">
        <is>
          <t>可建立決策、關聯事件/任務、記錄依據；L3 需 audit 與 AAR 可追溯。</t>
        </is>
      </c>
      <c r="J10" s="14" t="inlineStr">
        <is>
          <t>GovOps</t>
        </is>
      </c>
      <c r="K10" s="14" t="inlineStr">
        <is>
          <t>RBAC；audit evidence；Unity of Command。</t>
        </is>
      </c>
      <c r="L10" s="14" t="inlineStr">
        <is>
          <t>ICS 214 / NIMS Command &amp; Coordination</t>
        </is>
      </c>
      <c r="M10" s="14" t="inlineStr">
        <is>
          <t>High：決策責任資料</t>
        </is>
      </c>
      <c r="N10" s="14" t="inlineStr">
        <is>
          <t>決策紀錄、AAR link、audit trail</t>
        </is>
      </c>
      <c r="O10" s="14" t="inlineStr">
        <is>
          <t>可支援決策紀錄與 AAR 追溯</t>
        </is>
      </c>
      <c r="P10" s="14" t="inlineStr">
        <is>
          <t>Not Started</t>
        </is>
      </c>
      <c r="Q10" s="14" t="inlineStr">
        <is>
          <t>定義 decision schema 與與 event/task 關聯</t>
        </is>
      </c>
      <c r="R10" s="14" t="inlineStr">
        <is>
          <t>Product / Backend</t>
        </is>
      </c>
      <c r="S10" s="14" t="inlineStr">
        <is>
          <t>P1</t>
        </is>
      </c>
      <c r="T10" s="14" t="inlineStr">
        <is>
          <t>Internal + Customer Summary</t>
        </is>
      </c>
    </row>
    <row r="11" ht="70" customHeight="1" s="6">
      <c r="A11" s="14" t="inlineStr">
        <is>
          <t>CAP-007</t>
        </is>
      </c>
      <c r="B11" s="14" t="inlineStr">
        <is>
          <t>Task Assignment</t>
        </is>
      </c>
      <c r="C11" s="14" t="inlineStr">
        <is>
          <t>Command / Workflow</t>
        </is>
      </c>
      <c r="D11" s="14" t="inlineStr">
        <is>
          <t>決策後產生任務，指定責任組、期限、狀態與完成回報。</t>
        </is>
      </c>
      <c r="E11" s="14" t="inlineStr">
        <is>
          <t>GP2</t>
        </is>
      </c>
      <c r="F11" s="14" t="inlineStr">
        <is>
          <t>指揮官、組長、操作員</t>
        </is>
      </c>
      <c r="G11" s="14" t="inlineStr">
        <is>
          <t>L0</t>
        </is>
      </c>
      <c r="H11" s="14" t="inlineStr">
        <is>
          <t>L2</t>
        </is>
      </c>
      <c r="I11" s="14" t="inlineStr">
        <is>
          <t>可建立/指派/更新/結案任務；現場可回報完成。</t>
        </is>
      </c>
      <c r="J11" s="14" t="inlineStr">
        <is>
          <t>Exercise Pro / GovOps</t>
        </is>
      </c>
      <c r="K11" s="14" t="inlineStr">
        <is>
          <t>RBAC；audit log；notification。</t>
        </is>
      </c>
      <c r="L11" s="14" t="inlineStr">
        <is>
          <t>NIMS Resource Management</t>
        </is>
      </c>
      <c r="M11" s="14" t="inlineStr">
        <is>
          <t>Medium</t>
        </is>
      </c>
      <c r="N11" s="14" t="inlineStr">
        <is>
          <t>任務測試、狀態轉換紀錄</t>
        </is>
      </c>
      <c r="O11" s="14" t="inlineStr">
        <is>
          <t>支援受控演訓任務追蹤</t>
        </is>
      </c>
      <c r="P11" s="14" t="inlineStr">
        <is>
          <t>Not Started</t>
        </is>
      </c>
      <c r="Q11" s="14" t="inlineStr">
        <is>
          <t>定義最小 task lifecycle：open/assigned/done/closed</t>
        </is>
      </c>
      <c r="R11" s="14" t="inlineStr">
        <is>
          <t>Product / Backend</t>
        </is>
      </c>
      <c r="S11" s="14" t="inlineStr">
        <is>
          <t>P2</t>
        </is>
      </c>
      <c r="T11" s="14" t="inlineStr">
        <is>
          <t>Customer Deliverable</t>
        </is>
      </c>
    </row>
    <row r="12" ht="70" customHeight="1" s="6">
      <c r="A12" s="14" t="inlineStr">
        <is>
          <t>CAP-008</t>
        </is>
      </c>
      <c r="B12" s="14" t="inlineStr">
        <is>
          <t>PWA Field Report</t>
        </is>
      </c>
      <c r="C12" s="14" t="inlineStr">
        <is>
          <t>Field / PWA</t>
        </is>
      </c>
      <c r="D12" s="14" t="inlineStr">
        <is>
          <t>收容、醫療、前進組等現場填報資料，支援低負擔輸入。</t>
        </is>
      </c>
      <c r="E12" s="14" t="inlineStr">
        <is>
          <t>GP2, GP3</t>
        </is>
      </c>
      <c r="F12" s="14" t="inlineStr">
        <is>
          <t>現場操作員、志工</t>
        </is>
      </c>
      <c r="G12" s="14" t="inlineStr">
        <is>
          <t>L1</t>
        </is>
      </c>
      <c r="H12" s="14" t="inlineStr">
        <is>
          <t>L2</t>
        </is>
      </c>
      <c r="I12" s="14" t="inlineStr">
        <is>
          <t>可離線填報、暫存、送出狀態明確；資料格式可被 COP 採用。</t>
        </is>
      </c>
      <c r="J12" s="14" t="inlineStr">
        <is>
          <t>Exercise Pro</t>
        </is>
      </c>
      <c r="K12" s="14" t="inlineStr">
        <is>
          <t>PII policy；input validation；sync signing。</t>
        </is>
      </c>
      <c r="L12" s="14" t="inlineStr">
        <is>
          <t>NIMS Information Management / PII policy</t>
        </is>
      </c>
      <c r="M12" s="14" t="inlineStr">
        <is>
          <t>Medium–High：可能含個資/醫療</t>
        </is>
      </c>
      <c r="N12" s="14" t="inlineStr">
        <is>
          <t>PWA E2E 測試、離線測試、資料欄位清單</t>
        </is>
      </c>
      <c r="O12" s="14" t="inlineStr">
        <is>
          <t>支援現場受控回報</t>
        </is>
      </c>
      <c r="P12" s="14" t="inlineStr">
        <is>
          <t>Partial</t>
        </is>
      </c>
      <c r="Q12" s="14" t="inlineStr">
        <is>
          <t>定義採納/退回/修正流程與 UI 狀態</t>
        </is>
      </c>
      <c r="R12" s="14" t="inlineStr">
        <is>
          <t>PWA / Product</t>
        </is>
      </c>
      <c r="S12" s="14" t="inlineStr">
        <is>
          <t>P1</t>
        </is>
      </c>
      <c r="T12" s="14" t="inlineStr">
        <is>
          <t>Customer Deliverable</t>
        </is>
      </c>
    </row>
    <row r="13" ht="70" customHeight="1" s="6">
      <c r="A13" s="14" t="inlineStr">
        <is>
          <t>CAP-009</t>
        </is>
      </c>
      <c r="B13" s="14" t="inlineStr">
        <is>
          <t>Report Adoption Workflow</t>
        </is>
      </c>
      <c r="C13" s="14" t="inlineStr">
        <is>
          <t>Field / Data Quality</t>
        </is>
      </c>
      <c r="D13" s="14" t="inlineStr">
        <is>
          <t>現場回報進 COP 前的採納、退回、修正與衝突裁決流程。</t>
        </is>
      </c>
      <c r="E13" s="14" t="inlineStr">
        <is>
          <t>GP2, GP3</t>
        </is>
      </c>
      <c r="F13" s="14" t="inlineStr">
        <is>
          <t>幕僚、組長、指揮官</t>
        </is>
      </c>
      <c r="G13" s="14" t="inlineStr">
        <is>
          <t>L0</t>
        </is>
      </c>
      <c r="H13" s="14" t="inlineStr">
        <is>
          <t>L3</t>
        </is>
      </c>
      <c r="I13" s="14" t="inlineStr">
        <is>
          <t>每筆回報有 pending/accepted/rejected/superseded 狀態；採納者與理由可追溯。</t>
        </is>
      </c>
      <c r="J13" s="14" t="inlineStr">
        <is>
          <t>GovOps</t>
        </is>
      </c>
      <c r="K13" s="14" t="inlineStr">
        <is>
          <t>RBAC；audit；trusted ingest；conflict resolution。</t>
        </is>
      </c>
      <c r="L13" s="14" t="inlineStr">
        <is>
          <t>NIMS Information Management / AAR evidence</t>
        </is>
      </c>
      <c r="M13" s="14" t="inlineStr">
        <is>
          <t>High</t>
        </is>
      </c>
      <c r="N13" s="14" t="inlineStr">
        <is>
          <t>採納流程測試、audit trail、衝突案例</t>
        </is>
      </c>
      <c r="O13" s="14" t="inlineStr">
        <is>
          <t>可支援資料採納與追溯</t>
        </is>
      </c>
      <c r="P13" s="14" t="inlineStr">
        <is>
          <t>Not Started</t>
        </is>
      </c>
      <c r="Q13" s="14" t="inlineStr">
        <is>
          <t>新增 adoption_status 與 conflict resolution 規格</t>
        </is>
      </c>
      <c r="R13" s="14" t="inlineStr">
        <is>
          <t>Product / Backend</t>
        </is>
      </c>
      <c r="S13" s="14" t="inlineStr">
        <is>
          <t>P1</t>
        </is>
      </c>
      <c r="T13" s="14" t="inlineStr">
        <is>
          <t>Internal + Customer Summary</t>
        </is>
      </c>
    </row>
    <row r="14" ht="70" customHeight="1" s="6">
      <c r="A14" s="14" t="inlineStr">
        <is>
          <t>CAP-010</t>
        </is>
      </c>
      <c r="B14" s="14" t="inlineStr">
        <is>
          <t>Pi / Field Node Sync</t>
        </is>
      </c>
      <c r="C14" s="14" t="inlineStr">
        <is>
          <t>Field / Sync</t>
        </is>
      </c>
      <c r="D14" s="14" t="inlineStr">
        <is>
          <t>Pi 或 Field Node 與 Command Dashboard 之間的現場同步能力。</t>
        </is>
      </c>
      <c r="E14" s="14" t="inlineStr">
        <is>
          <t>GP2, GP3</t>
        </is>
      </c>
      <c r="F14" s="14" t="inlineStr">
        <is>
          <t>現場節點、維運</t>
        </is>
      </c>
      <c r="G14" s="14" t="inlineStr">
        <is>
          <t>L1</t>
        </is>
      </c>
      <c r="H14" s="14" t="inlineStr">
        <is>
          <t>L3</t>
        </is>
      </c>
      <c r="I14" s="14" t="inlineStr">
        <is>
          <t>可同步狀態；L3 需 node identity、key rotation、replay protection。</t>
        </is>
      </c>
      <c r="J14" s="14" t="inlineStr">
        <is>
          <t>GovOps / Tactical</t>
        </is>
      </c>
      <c r="K14" s="14" t="inlineStr">
        <is>
          <t>Pi first-run ✅ (#6/PR#7)；WS gate ✅ (#8/PR#9)；HMAC 🔄 (#11/PR#12)；API key hash 🔲</t>
        </is>
      </c>
      <c r="L14" s="14" t="inlineStr">
        <is>
          <t>NIST SC / IA / OT-like deployment</t>
        </is>
      </c>
      <c r="M14" s="14" t="inlineStr">
        <is>
          <t>High：同步與節點密鑰</t>
        </is>
      </c>
      <c r="N14" s="14" t="inlineStr">
        <is>
          <t>PR#7 (PI-01 close 2026-04-26)；PR#9 (WS-01 close 2026-04-26)；#11 TI-01 in progress</t>
        </is>
      </c>
      <c r="O14" s="14" t="inlineStr">
        <is>
          <t>支援現場節點同步</t>
        </is>
      </c>
      <c r="P14" s="14" t="inlineStr">
        <is>
          <t>Partial Hardened</t>
        </is>
      </c>
      <c r="Q14" s="14" t="inlineStr">
        <is>
          <t>待 #11 (TI-01) close 後評估升 L2</t>
        </is>
      </c>
      <c r="R14" s="14" t="inlineStr">
        <is>
          <t>Backend / Node / Security</t>
        </is>
      </c>
      <c r="S14" s="14" t="inlineStr">
        <is>
          <t>P0</t>
        </is>
      </c>
      <c r="T14" s="14" t="inlineStr">
        <is>
          <t>Internal Only</t>
        </is>
      </c>
    </row>
    <row r="15" ht="70" customHeight="1" s="6">
      <c r="A15" s="14" t="inlineStr">
        <is>
          <t>CAP-011</t>
        </is>
      </c>
      <c r="B15" s="14" t="inlineStr">
        <is>
          <t>QR Offline Snapshot</t>
        </is>
      </c>
      <c r="C15" s="14" t="inlineStr">
        <is>
          <t>Field / Offline</t>
        </is>
      </c>
      <c r="D15" s="14" t="inlineStr">
        <is>
          <t>斷網時產生/掃描 QR 快照，以離線方式匯入重要狀態。</t>
        </is>
      </c>
      <c r="E15" s="14" t="inlineStr">
        <is>
          <t>GP3</t>
        </is>
      </c>
      <c r="F15" s="14" t="inlineStr">
        <is>
          <t>現場操作員、幕僚</t>
        </is>
      </c>
      <c r="G15" s="14" t="inlineStr">
        <is>
          <t>L1</t>
        </is>
      </c>
      <c r="H15" s="14" t="inlineStr">
        <is>
          <t>L3</t>
        </is>
      </c>
      <c r="I15" s="14" t="inlineStr">
        <is>
          <t>可離線匯入；L3 需簽章、nonce、防重放、來源標示。</t>
        </is>
      </c>
      <c r="J15" s="14" t="inlineStr">
        <is>
          <t>Exercise Pro / GovOps</t>
        </is>
      </c>
      <c r="K15" s="14" t="inlineStr">
        <is>
          <t>Trusted Ingest；QR signature；replay cache。</t>
        </is>
      </c>
      <c r="L15" s="14" t="inlineStr">
        <is>
          <t>NIMS resiliency / AAR evidence</t>
        </is>
      </c>
      <c r="M15" s="14" t="inlineStr">
        <is>
          <t>Medium–High</t>
        </is>
      </c>
      <c r="N15" s="14" t="inlineStr">
        <is>
          <t>QR 匯入測試、簽章驗證、重放拒收測試</t>
        </is>
      </c>
      <c r="O15" s="14" t="inlineStr">
        <is>
          <t>支援斷網備援回報</t>
        </is>
      </c>
      <c r="P15" s="14" t="inlineStr">
        <is>
          <t>Partial</t>
        </is>
      </c>
      <c r="Q15" s="14" t="inlineStr">
        <is>
          <t>定義 QR payload 格式與驗證流程</t>
        </is>
      </c>
      <c r="R15" s="14" t="inlineStr">
        <is>
          <t>PWA / Backend / Security</t>
        </is>
      </c>
      <c r="S15" s="14" t="inlineStr">
        <is>
          <t>P0</t>
        </is>
      </c>
      <c r="T15" s="14" t="inlineStr">
        <is>
          <t>Internal + Customer Summary</t>
        </is>
      </c>
    </row>
    <row r="16" ht="70" customHeight="1" s="6">
      <c r="A16" s="14" t="inlineStr">
        <is>
          <t>CAP-012</t>
        </is>
      </c>
      <c r="B16" s="14" t="inlineStr">
        <is>
          <t>Snapshot / Sync Trusted Ingest</t>
        </is>
      </c>
      <c r="C16" s="14" t="inlineStr">
        <is>
          <t>Security / Data Integrity</t>
        </is>
      </c>
      <c r="D16" s="14" t="inlineStr">
        <is>
          <t>所有 snapshot、sync_push、QR、inject 的簽章、nonce、timestamp 與防重放控制。</t>
        </is>
      </c>
      <c r="E16" s="14" t="inlineStr">
        <is>
          <t>GP1, GP2, GP3</t>
        </is>
      </c>
      <c r="F16" s="14" t="inlineStr">
        <is>
          <t>後端、資安、架構師</t>
        </is>
      </c>
      <c r="G16" s="14" t="inlineStr">
        <is>
          <t>L0</t>
        </is>
      </c>
      <c r="H16" s="14" t="inlineStr">
        <is>
          <t>L3</t>
        </is>
      </c>
      <c r="I16" s="14" t="inlineStr">
        <is>
          <t>未簽章資料拒收；重放拒收；body 變更簽章失效；key_id 可追溯。</t>
        </is>
      </c>
      <c r="J16" s="14" t="inlineStr">
        <is>
          <t>Exercise Pro / GovOps</t>
        </is>
      </c>
      <c r="K16" s="14" t="inlineStr">
        <is>
          <t>HMAC/signature；nonce cache；timestamp skew；key rotation。</t>
        </is>
      </c>
      <c r="L16" s="14" t="inlineStr">
        <is>
          <t>NIST IA/SC/SI / Data integrity</t>
        </is>
      </c>
      <c r="M16" s="14" t="inlineStr">
        <is>
          <t>High</t>
        </is>
      </c>
      <c r="N16" s="14" t="inlineStr">
        <is>
          <t>#11 Trusted Ingest HMAC in progress (PR#12)</t>
        </is>
      </c>
      <c r="O16" s="14" t="inlineStr">
        <is>
          <t>已具資料完整性控制（完成後才可說）</t>
        </is>
      </c>
      <c r="P16" s="14" t="inlineStr">
        <is>
          <t>In Progress</t>
        </is>
      </c>
      <c r="Q16" s="14" t="inlineStr">
        <is>
          <t>#11 TI-01 open (PR#12 in progress)；close 後評估升 L2</t>
        </is>
      </c>
      <c r="R16" s="14" t="inlineStr">
        <is>
          <t>Security / Backend</t>
        </is>
      </c>
      <c r="S16" s="14" t="inlineStr">
        <is>
          <t>P0</t>
        </is>
      </c>
      <c r="T16" s="14" t="inlineStr">
        <is>
          <t>Internal Only</t>
        </is>
      </c>
    </row>
    <row r="17" ht="70" customHeight="1" s="6">
      <c r="A17" s="14" t="inlineStr">
        <is>
          <t>CAP-013</t>
        </is>
      </c>
      <c r="B17" s="14" t="inlineStr">
        <is>
          <t>WebSocket Pre-auth Gate</t>
        </is>
      </c>
      <c r="C17" s="14" t="inlineStr">
        <is>
          <t>Security / Sync</t>
        </is>
      </c>
      <c r="D17" s="14" t="inlineStr">
        <is>
          <t>WebSocket 狀態改變訊息必須先通過 server-side auth gate。</t>
        </is>
      </c>
      <c r="E17" s="14" t="inlineStr">
        <is>
          <t>GP2, GP3</t>
        </is>
      </c>
      <c r="F17" s="14" t="inlineStr">
        <is>
          <t>後端、Node、資安</t>
        </is>
      </c>
      <c r="G17" s="14" t="inlineStr">
        <is>
          <t>L0</t>
        </is>
      </c>
      <c r="H17" s="14" t="inlineStr">
        <is>
          <t>L3</t>
        </is>
      </c>
      <c r="I17" s="14" t="inlineStr">
        <is>
          <t>未 auth client 送 delta/sync_push/clear_table 必須拒絕；禁止 client 自報 role。</t>
        </is>
      </c>
      <c r="J17" s="14" t="inlineStr">
        <is>
          <t>Exercise Pro / GovOps</t>
        </is>
      </c>
      <c r="K17" s="14" t="inlineStr">
        <is>
          <t>WS auth gate；server-side session；role gate。</t>
        </is>
      </c>
      <c r="L17" s="14" t="inlineStr">
        <is>
          <t>NIST AC/IA/SC</t>
        </is>
      </c>
      <c r="M17" s="14" t="inlineStr">
        <is>
          <t>High</t>
        </is>
      </c>
      <c r="N17" s="14" t="inlineStr">
        <is>
          <t>PR#9 (WS-01 close 2026-04-26)；WS tests 19/19 pass</t>
        </is>
      </c>
      <c r="O17" s="14" t="inlineStr">
        <is>
          <t>不建議外部宣稱細節</t>
        </is>
      </c>
      <c r="P17" s="14" t="inlineStr">
        <is>
          <t>Partial Hardened</t>
        </is>
      </c>
      <c r="Q17" s="14" t="inlineStr">
        <is>
          <t>待 #11 (TI-01) close 後評估升 L2</t>
        </is>
      </c>
      <c r="R17" s="14" t="inlineStr">
        <is>
          <t>Node / Security</t>
        </is>
      </c>
      <c r="S17" s="14" t="inlineStr">
        <is>
          <t>P0</t>
        </is>
      </c>
      <c r="T17" s="14" t="inlineStr">
        <is>
          <t>Internal Only</t>
        </is>
      </c>
    </row>
    <row r="18" ht="70" customHeight="1" s="6">
      <c r="A18" s="14" t="inlineStr">
        <is>
          <t>CAP-014</t>
        </is>
      </c>
      <c r="B18" s="14" t="inlineStr">
        <is>
          <t>RBAC / Endpoint Gate</t>
        </is>
      </c>
      <c r="C18" s="14" t="inlineStr">
        <is>
          <t>Security / Auth</t>
        </is>
      </c>
      <c r="D18" s="14" t="inlineStr">
        <is>
          <t>後端角色權限控管，避免只靠前端或 session-level auth。</t>
        </is>
      </c>
      <c r="E18" s="14" t="inlineStr">
        <is>
          <t>全部</t>
        </is>
      </c>
      <c r="F18" s="14" t="inlineStr">
        <is>
          <t>系統管理員、所有使用者</t>
        </is>
      </c>
      <c r="G18" s="14" t="inlineStr">
        <is>
          <t>L1</t>
        </is>
      </c>
      <c r="H18" s="14" t="inlineStr">
        <is>
          <t>L3</t>
        </is>
      </c>
      <c r="I18" s="14" t="inlineStr">
        <is>
          <t>每個 state-changing endpoint 有 role gate；角色變更立即 revoke session。</t>
        </is>
      </c>
      <c r="J18" s="14" t="inlineStr">
        <is>
          <t>GovOps</t>
        </is>
      </c>
      <c r="K18" s="14" t="inlineStr">
        <is>
          <t>C1-A Phase 2；session revoke；least privilege。</t>
        </is>
      </c>
      <c r="L18" s="14" t="inlineStr">
        <is>
          <t>NIST AC / IA</t>
        </is>
      </c>
      <c r="M18" s="14" t="inlineStr">
        <is>
          <t>High</t>
        </is>
      </c>
      <c r="N18" s="14" t="inlineStr">
        <is>
          <t>RBAC matrix、API tests、session revoke tests</t>
        </is>
      </c>
      <c r="O18" s="14" t="inlineStr">
        <is>
          <t>支援角色權限控管（完成後）</t>
        </is>
      </c>
      <c r="P18" s="14" t="inlineStr">
        <is>
          <t>Partial</t>
        </is>
      </c>
      <c r="Q18" s="14" t="inlineStr">
        <is>
          <t>定義角色 enum、endpoint map 與測試</t>
        </is>
      </c>
      <c r="R18" s="14" t="inlineStr">
        <is>
          <t>Backend / Security</t>
        </is>
      </c>
      <c r="S18" s="14" t="inlineStr">
        <is>
          <t>P1</t>
        </is>
      </c>
      <c r="T18" s="14" t="inlineStr">
        <is>
          <t>Internal + Customer Summary</t>
        </is>
      </c>
    </row>
    <row r="19" ht="70" customHeight="1" s="6">
      <c r="A19" s="14" t="inlineStr">
        <is>
          <t>CAP-015</t>
        </is>
      </c>
      <c r="B19" s="14" t="inlineStr">
        <is>
          <t>Audit Evidence</t>
        </is>
      </c>
      <c r="C19" s="14" t="inlineStr">
        <is>
          <t>Security / Audit</t>
        </is>
      </c>
      <c r="D19" s="14" t="inlineStr">
        <is>
          <t>重要操作、資料採納、決策、匯出與 admin 行為的稽核證據。</t>
        </is>
      </c>
      <c r="E19" s="14" t="inlineStr">
        <is>
          <t>GP1, GP2, GP3, GP4, GP5</t>
        </is>
      </c>
      <c r="F19" s="14" t="inlineStr">
        <is>
          <t>資安、PM、客戶驗收</t>
        </is>
      </c>
      <c r="G19" s="14" t="inlineStr">
        <is>
          <t>L1</t>
        </is>
      </c>
      <c r="H19" s="14" t="inlineStr">
        <is>
          <t>L3</t>
        </is>
      </c>
      <c r="I19" s="14" t="inlineStr">
        <is>
          <t>所有重要操作可追溯；L3 需 hash chain、append-only、correlation ID。</t>
        </is>
      </c>
      <c r="J19" s="14" t="inlineStr">
        <is>
          <t>GovOps</t>
        </is>
      </c>
      <c r="K19" s="14" t="inlineStr">
        <is>
          <t>C1-D；不可刪改；retention；correlation ID。</t>
        </is>
      </c>
      <c r="L19" s="14" t="inlineStr">
        <is>
          <t>NIST AU / ICS 214 / AAR evidence</t>
        </is>
      </c>
      <c r="M19" s="14" t="inlineStr">
        <is>
          <t>High</t>
        </is>
      </c>
      <c r="N19" s="14" t="inlineStr">
        <is>
          <t>audit log、hash chain 驗證、reset 不刪 log 測試</t>
        </is>
      </c>
      <c r="O19" s="14" t="inlineStr">
        <is>
          <t>支援稽核追溯（完成後）</t>
        </is>
      </c>
      <c r="P19" s="14" t="inlineStr">
        <is>
          <t>Partial</t>
        </is>
      </c>
      <c r="Q19" s="14" t="inlineStr">
        <is>
          <t>補 hash chain 與禁止 reset 刪 audit</t>
        </is>
      </c>
      <c r="R19" s="14" t="inlineStr">
        <is>
          <t>Backend / Security</t>
        </is>
      </c>
      <c r="S19" s="14" t="inlineStr">
        <is>
          <t>P1</t>
        </is>
      </c>
      <c r="T19" s="14" t="inlineStr">
        <is>
          <t>Internal + Customer Summary</t>
        </is>
      </c>
    </row>
    <row r="20" ht="70" customHeight="1" s="6">
      <c r="A20" s="14" t="inlineStr">
        <is>
          <t>CAP-016</t>
        </is>
      </c>
      <c r="B20" s="14" t="inlineStr">
        <is>
          <t>AAR Timeline</t>
        </is>
      </c>
      <c r="C20" s="14" t="inlineStr">
        <is>
          <t>AAR</t>
        </is>
      </c>
      <c r="D20" s="14" t="inlineStr">
        <is>
          <t>從事件、回報、決策與 inject 產生 AAR 時間線。</t>
        </is>
      </c>
      <c r="E20" s="14" t="inlineStr">
        <is>
          <t>GP1, GP3</t>
        </is>
      </c>
      <c r="F20" s="14" t="inlineStr">
        <is>
          <t>演訓顧問、PM、客戶</t>
        </is>
      </c>
      <c r="G20" s="14" t="inlineStr">
        <is>
          <t>L1</t>
        </is>
      </c>
      <c r="H20" s="14" t="inlineStr">
        <is>
          <t>L3</t>
        </is>
      </c>
      <c r="I20" s="14" t="inlineStr">
        <is>
          <t>時間線可重建；每個節點有來源、時間、責任；L3 可回點原始證據。</t>
        </is>
      </c>
      <c r="J20" s="14" t="inlineStr">
        <is>
          <t>Exercise Pro / GovOps</t>
        </is>
      </c>
      <c r="K20" s="14" t="inlineStr">
        <is>
          <t>audit evidence；AAR reproducibility；source provenance。</t>
        </is>
      </c>
      <c r="L20" s="14" t="inlineStr">
        <is>
          <t>HSEEP AAR/IP / ICS 214</t>
        </is>
      </c>
      <c r="M20" s="14" t="inlineStr">
        <is>
          <t>Medium–High</t>
        </is>
      </c>
      <c r="N20" s="14" t="inlineStr">
        <is>
          <t>AAR 匯出、source link、replay 測試</t>
        </is>
      </c>
      <c r="O20" s="14" t="inlineStr">
        <is>
          <t>支援 AAR 時間線</t>
        </is>
      </c>
      <c r="P20" s="14" t="inlineStr">
        <is>
          <t>Partial</t>
        </is>
      </c>
      <c r="Q20" s="14" t="inlineStr">
        <is>
          <t>定義 AAR source map 與回點機制</t>
        </is>
      </c>
      <c r="R20" s="14" t="inlineStr">
        <is>
          <t>AAR / Product</t>
        </is>
      </c>
      <c r="S20" s="14" t="inlineStr">
        <is>
          <t>P1</t>
        </is>
      </c>
      <c r="T20" s="14" t="inlineStr">
        <is>
          <t>Customer Deliverable</t>
        </is>
      </c>
    </row>
    <row r="21" ht="70" customHeight="1" s="6">
      <c r="A21" s="14" t="inlineStr">
        <is>
          <t>CAP-017</t>
        </is>
      </c>
      <c r="B21" s="14" t="inlineStr">
        <is>
          <t>AAR Improvement Plan</t>
        </is>
      </c>
      <c r="C21" s="14" t="inlineStr">
        <is>
          <t>AAR</t>
        </is>
      </c>
      <c r="D21" s="14" t="inlineStr">
        <is>
          <t>從演訓發現產生改善事項、責任人、期限與追蹤狀態。</t>
        </is>
      </c>
      <c r="E21" s="14" t="inlineStr">
        <is>
          <t>GP1</t>
        </is>
      </c>
      <c r="F21" s="14" t="inlineStr">
        <is>
          <t>演訓顧問、承辦、客戶主管</t>
        </is>
      </c>
      <c r="G21" s="14" t="inlineStr">
        <is>
          <t>L0</t>
        </is>
      </c>
      <c r="H21" s="14" t="inlineStr">
        <is>
          <t>L2</t>
        </is>
      </c>
      <c r="I21" s="14" t="inlineStr">
        <is>
          <t>可建立 issue、assign owner、due date、status，匯出改善計畫。</t>
        </is>
      </c>
      <c r="J21" s="14" t="inlineStr">
        <is>
          <t>Exercise Pro / GovOps</t>
        </is>
      </c>
      <c r="K21" s="14" t="inlineStr">
        <is>
          <t>與 AAR 結論需有來源；需權限控管。</t>
        </is>
      </c>
      <c r="L21" s="14" t="inlineStr">
        <is>
          <t>HSEEP AAR/IP</t>
        </is>
      </c>
      <c r="M21" s="14" t="inlineStr">
        <is>
          <t>Medium</t>
        </is>
      </c>
      <c r="N21" s="14" t="inlineStr">
        <is>
          <t>改善計畫匯出、狀態追蹤測試</t>
        </is>
      </c>
      <c r="O21" s="14" t="inlineStr">
        <is>
          <t>支援演訓改善事項追蹤</t>
        </is>
      </c>
      <c r="P21" s="14" t="inlineStr">
        <is>
          <t>Not Started</t>
        </is>
      </c>
      <c r="Q21" s="14" t="inlineStr">
        <is>
          <t>定義 improvement item schema 與匯出格式</t>
        </is>
      </c>
      <c r="R21" s="14" t="inlineStr">
        <is>
          <t>AAR / Product</t>
        </is>
      </c>
      <c r="S21" s="14" t="inlineStr">
        <is>
          <t>P2</t>
        </is>
      </c>
      <c r="T21" s="14" t="inlineStr">
        <is>
          <t>Customer Deliverable</t>
        </is>
      </c>
    </row>
    <row r="22" ht="70" customHeight="1" s="6">
      <c r="A22" s="14" t="inlineStr">
        <is>
          <t>CAP-018</t>
        </is>
      </c>
      <c r="B22" s="14" t="inlineStr">
        <is>
          <t>HSEEP / MSEL / AAR Alignment</t>
        </is>
      </c>
      <c r="C22" s="14" t="inlineStr">
        <is>
          <t>Compliance / Exercise</t>
        </is>
      </c>
      <c r="D22" s="14" t="inlineStr">
        <is>
          <t>將 TTX 注入、AAR、改善計畫對齊 HSEEP/MSEL/AAR-IP 流程。</t>
        </is>
      </c>
      <c r="E22" s="14" t="inlineStr">
        <is>
          <t>GP1, GP4</t>
        </is>
      </c>
      <c r="F22" s="14" t="inlineStr">
        <is>
          <t>演訓顧問、標案、PM</t>
        </is>
      </c>
      <c r="G22" s="14" t="inlineStr">
        <is>
          <t>L1</t>
        </is>
      </c>
      <c r="H22" s="14" t="inlineStr">
        <is>
          <t>L3</t>
        </is>
      </c>
      <c r="I22" s="14" t="inlineStr">
        <is>
          <t>MSEL 欄位對照、AAR/IP 模板、可產生採購/演訓附件。</t>
        </is>
      </c>
      <c r="J22" s="14" t="inlineStr">
        <is>
          <t>Exercise Pro / GovOps</t>
        </is>
      </c>
      <c r="K22" s="14" t="inlineStr">
        <is>
          <t>claim language：只能說對齊/參考，不能說 certified。</t>
        </is>
      </c>
      <c r="L22" s="14" t="inlineStr">
        <is>
          <t>HSEEP / MSEL / AAR-IP</t>
        </is>
      </c>
      <c r="M22" s="14" t="inlineStr">
        <is>
          <t>Low–Medium</t>
        </is>
      </c>
      <c r="N22" s="14" t="inlineStr">
        <is>
          <t>對照表、範本匯出、演訓報告</t>
        </is>
      </c>
      <c r="O22" s="14" t="inlineStr">
        <is>
          <t>參考 HSEEP 流程並支援 AAR/IP 類輸出</t>
        </is>
      </c>
      <c r="P22" s="14" t="inlineStr">
        <is>
          <t>Partial</t>
        </is>
      </c>
      <c r="Q22" s="14" t="inlineStr">
        <is>
          <t>建立欄位 mapping 與範本</t>
        </is>
      </c>
      <c r="R22" s="14" t="inlineStr">
        <is>
          <t>Compliance / TTX</t>
        </is>
      </c>
      <c r="S22" s="14" t="inlineStr">
        <is>
          <t>P1</t>
        </is>
      </c>
      <c r="T22" s="14" t="inlineStr">
        <is>
          <t>Public / Sales Safe</t>
        </is>
      </c>
    </row>
    <row r="23" ht="70" customHeight="1" s="6">
      <c r="A23" s="14" t="inlineStr">
        <is>
          <t>CAP-019</t>
        </is>
      </c>
      <c r="B23" s="14" t="inlineStr">
        <is>
          <t>Resource Status Tracking</t>
        </is>
      </c>
      <c r="C23" s="14" t="inlineStr">
        <is>
          <t>Resource</t>
        </is>
      </c>
      <c r="D23" s="14" t="inlineStr">
        <is>
          <t>追蹤床位、物資、醫療量能、人力等狀態。</t>
        </is>
      </c>
      <c r="E23" s="14" t="inlineStr">
        <is>
          <t>GP2</t>
        </is>
      </c>
      <c r="F23" s="14" t="inlineStr">
        <is>
          <t>幕僚、組長、指揮官</t>
        </is>
      </c>
      <c r="G23" s="14" t="inlineStr">
        <is>
          <t>L1</t>
        </is>
      </c>
      <c r="H23" s="14" t="inlineStr">
        <is>
          <t>L2</t>
        </is>
      </c>
      <c r="I23" s="14" t="inlineStr">
        <is>
          <t>資源狀態可更新、顯示趨勢、標示來源時間；基本異常提示。</t>
        </is>
      </c>
      <c r="J23" s="14" t="inlineStr">
        <is>
          <t>Exercise Pro</t>
        </is>
      </c>
      <c r="K23" s="14" t="inlineStr">
        <is>
          <t>Trusted ingest；input validation。</t>
        </is>
      </c>
      <c r="L23" s="14" t="inlineStr">
        <is>
          <t>NIMS Resource Management</t>
        </is>
      </c>
      <c r="M23" s="14" t="inlineStr">
        <is>
          <t>Medium</t>
        </is>
      </c>
      <c r="N23" s="14" t="inlineStr">
        <is>
          <t>狀態更新測試、COP 顯示、來源紀錄</t>
        </is>
      </c>
      <c r="O23" s="14" t="inlineStr">
        <is>
          <t>支援資源狀態追蹤</t>
        </is>
      </c>
      <c r="P23" s="14" t="inlineStr">
        <is>
          <t>Partial</t>
        </is>
      </c>
      <c r="Q23" s="14" t="inlineStr">
        <is>
          <t>補資料來源與衝突標示</t>
        </is>
      </c>
      <c r="R23" s="14" t="inlineStr">
        <is>
          <t>Product / Backend</t>
        </is>
      </c>
      <c r="S23" s="14" t="inlineStr">
        <is>
          <t>P1</t>
        </is>
      </c>
      <c r="T23" s="14" t="inlineStr">
        <is>
          <t>Customer Deliverable</t>
        </is>
      </c>
    </row>
    <row r="24" ht="70" customHeight="1" s="6">
      <c r="A24" s="14" t="inlineStr">
        <is>
          <t>CAP-020</t>
        </is>
      </c>
      <c r="B24" s="14" t="inlineStr">
        <is>
          <t>Resource Request / Dispatch</t>
        </is>
      </c>
      <c r="C24" s="14" t="inlineStr">
        <is>
          <t>Resource</t>
        </is>
      </c>
      <c r="D24" s="14" t="inlineStr">
        <is>
          <t>資源請求、核准、派遣、狀態變更與釋回。</t>
        </is>
      </c>
      <c r="E24" s="14" t="inlineStr">
        <is>
          <t>GP2</t>
        </is>
      </c>
      <c r="F24" s="14" t="inlineStr">
        <is>
          <t>指揮官、幕僚、組長</t>
        </is>
      </c>
      <c r="G24" s="14" t="inlineStr">
        <is>
          <t>L0</t>
        </is>
      </c>
      <c r="H24" s="14" t="inlineStr">
        <is>
          <t>L3</t>
        </is>
      </c>
      <c r="I24" s="14" t="inlineStr">
        <is>
          <t>需求→請求→指派→執行→回報→結案；L3 需可匯出資源紀錄。</t>
        </is>
      </c>
      <c r="J24" s="14" t="inlineStr">
        <is>
          <t>GovOps</t>
        </is>
      </c>
      <c r="K24" s="14" t="inlineStr">
        <is>
          <t>RBAC；audit；resource typing。</t>
        </is>
      </c>
      <c r="L24" s="14" t="inlineStr">
        <is>
          <t>ICS 213RR / ICS 210 / NIMS Resource Management</t>
        </is>
      </c>
      <c r="M24" s="14" t="inlineStr">
        <is>
          <t>Medium–High</t>
        </is>
      </c>
      <c r="N24" s="14" t="inlineStr">
        <is>
          <t>資源請求流程測試、報表、audit</t>
        </is>
      </c>
      <c r="O24" s="14" t="inlineStr">
        <is>
          <t>支援資源請求與派遣（完成後）</t>
        </is>
      </c>
      <c r="P24" s="14" t="inlineStr">
        <is>
          <t>Not Started</t>
        </is>
      </c>
      <c r="Q24" s="14" t="inlineStr">
        <is>
          <t>先定最小 resource request workflow</t>
        </is>
      </c>
      <c r="R24" s="14" t="inlineStr">
        <is>
          <t>Product / Backend</t>
        </is>
      </c>
      <c r="S24" s="14" t="inlineStr">
        <is>
          <t>P2</t>
        </is>
      </c>
      <c r="T24" s="14" t="inlineStr">
        <is>
          <t>Customer Deliverable</t>
        </is>
      </c>
    </row>
    <row r="25" ht="70" customHeight="1" s="6">
      <c r="A25" s="14" t="inlineStr">
        <is>
          <t>CAP-021</t>
        </is>
      </c>
      <c r="B25" s="14" t="inlineStr">
        <is>
          <t>Operational Period</t>
        </is>
      </c>
      <c r="C25" s="14" t="inlineStr">
        <is>
          <t>ICS / Workflow</t>
        </is>
      </c>
      <c r="D25" s="14" t="inlineStr">
        <is>
          <t>以 operational period 管理目標、任務、IAP 與報告。</t>
        </is>
      </c>
      <c r="E25" s="14" t="inlineStr">
        <is>
          <t>GP2, GP5</t>
        </is>
      </c>
      <c r="F25" s="14" t="inlineStr">
        <is>
          <t>指揮官、計畫組、幕僚</t>
        </is>
      </c>
      <c r="G25" s="14" t="inlineStr">
        <is>
          <t>L0</t>
        </is>
      </c>
      <c r="H25" s="14" t="inlineStr">
        <is>
          <t>L3</t>
        </is>
      </c>
      <c r="I25" s="14" t="inlineStr">
        <is>
          <t>可建立作業週期、設定目標、關聯事件/資源/AAR。</t>
        </is>
      </c>
      <c r="J25" s="14" t="inlineStr">
        <is>
          <t>GovOps</t>
        </is>
      </c>
      <c r="K25" s="14" t="inlineStr">
        <is>
          <t>NIMS/ICS workflow；RBAC；IAP data model。</t>
        </is>
      </c>
      <c r="L25" s="14" t="inlineStr">
        <is>
          <t>NIMS / ICS Planning P</t>
        </is>
      </c>
      <c r="M25" s="14" t="inlineStr">
        <is>
          <t>Medium–High</t>
        </is>
      </c>
      <c r="N25" s="14" t="inlineStr">
        <is>
          <t>schema、UI、IAP 匯出測試</t>
        </is>
      </c>
      <c r="O25" s="14" t="inlineStr">
        <is>
          <t>後續支援 ICS operational period</t>
        </is>
      </c>
      <c r="P25" s="14" t="inlineStr">
        <is>
          <t>Not Started</t>
        </is>
      </c>
      <c r="Q25" s="14" t="inlineStr">
        <is>
          <t>排入 v3 或 GovOps workflow</t>
        </is>
      </c>
      <c r="R25" s="14" t="inlineStr">
        <is>
          <t>Product / Compliance</t>
        </is>
      </c>
      <c r="S25" s="14" t="inlineStr">
        <is>
          <t>P3</t>
        </is>
      </c>
      <c r="T25" s="14" t="inlineStr">
        <is>
          <t>Customer Summary</t>
        </is>
      </c>
    </row>
    <row r="26" ht="70" customHeight="1" s="6">
      <c r="A26" s="14" t="inlineStr">
        <is>
          <t>CAP-022</t>
        </is>
      </c>
      <c r="B26" s="14" t="inlineStr">
        <is>
          <t>ICS Forms Export</t>
        </is>
      </c>
      <c r="C26" s="14" t="inlineStr">
        <is>
          <t>ICS / Reporting</t>
        </is>
      </c>
      <c r="D26" s="14" t="inlineStr">
        <is>
          <t>輸出 ICS 214、201、209、213RR 等表單或相容報表。</t>
        </is>
      </c>
      <c r="E26" s="14" t="inlineStr">
        <is>
          <t>GP1, GP2, GP4</t>
        </is>
      </c>
      <c r="F26" s="14" t="inlineStr">
        <is>
          <t>演訓顧問、客戶承辦、標案</t>
        </is>
      </c>
      <c r="G26" s="14" t="inlineStr">
        <is>
          <t>L1</t>
        </is>
      </c>
      <c r="H26" s="14" t="inlineStr">
        <is>
          <t>L3</t>
        </is>
      </c>
      <c r="I26" s="14" t="inlineStr">
        <is>
          <t>至少 ICS 214 完整；GovOps 需 201/209/213RR 等資料基礎。</t>
        </is>
      </c>
      <c r="J26" s="14" t="inlineStr">
        <is>
          <t>GovOps</t>
        </is>
      </c>
      <c r="K26" s="14" t="inlineStr">
        <is>
          <t>資料欄位完整性；不可過度宣稱 FEMA compliant。</t>
        </is>
      </c>
      <c r="L26" s="14" t="inlineStr">
        <is>
          <t>FEMA ICS Forms / ICS 508</t>
        </is>
      </c>
      <c r="M26" s="14" t="inlineStr">
        <is>
          <t>Medium</t>
        </is>
      </c>
      <c r="N26" s="14" t="inlineStr">
        <is>
          <t>表單匯出、欄位 mapping、樣本報告</t>
        </is>
      </c>
      <c r="O26" s="14" t="inlineStr">
        <is>
          <t>部分對應 FEMA ICS 表單資料需求</t>
        </is>
      </c>
      <c r="P26" s="14" t="inlineStr">
        <is>
          <t>Partial</t>
        </is>
      </c>
      <c r="Q26" s="14" t="inlineStr">
        <is>
          <t>建立 ICS forms coverage matrix 與匯出優先序</t>
        </is>
      </c>
      <c r="R26" s="14" t="inlineStr">
        <is>
          <t>Compliance / Reporting</t>
        </is>
      </c>
      <c r="S26" s="14" t="inlineStr">
        <is>
          <t>P2</t>
        </is>
      </c>
      <c r="T26" s="14" t="inlineStr">
        <is>
          <t>Customer Deliverable</t>
        </is>
      </c>
    </row>
    <row r="27" ht="70" customHeight="1" s="6">
      <c r="A27" s="14" t="inlineStr">
        <is>
          <t>CAP-023</t>
        </is>
      </c>
      <c r="B27" s="14" t="inlineStr">
        <is>
          <t>Backup / Restore</t>
        </is>
      </c>
      <c r="C27" s="14" t="inlineStr">
        <is>
          <t>Ops / Reliability</t>
        </is>
      </c>
      <c r="D27" s="14" t="inlineStr">
        <is>
          <t>SQLite online backup、壓縮、驗證、還原演練與異地保存。</t>
        </is>
      </c>
      <c r="E27" s="14" t="inlineStr">
        <is>
          <t>GP4, GP5</t>
        </is>
      </c>
      <c r="F27" s="14" t="inlineStr">
        <is>
          <t>DevOps、客戶 IT</t>
        </is>
      </c>
      <c r="G27" s="14" t="inlineStr">
        <is>
          <t>L1</t>
        </is>
      </c>
      <c r="H27" s="14" t="inlineStr">
        <is>
          <t>L3</t>
        </is>
      </c>
      <c r="I27" s="14" t="inlineStr">
        <is>
          <t>可備份、verify、還原預演；L3 需 DR drill report。</t>
        </is>
      </c>
      <c r="J27" s="14" t="inlineStr">
        <is>
          <t>GovOps</t>
        </is>
      </c>
      <c r="K27" s="14" t="inlineStr">
        <is>
          <t>C3-D；DR playbook；retention。</t>
        </is>
      </c>
      <c r="L27" s="14" t="inlineStr">
        <is>
          <t>NIST CP / Recover</t>
        </is>
      </c>
      <c r="M27" s="14" t="inlineStr">
        <is>
          <t>High：備份可能含個資</t>
        </is>
      </c>
      <c r="N27" s="14" t="inlineStr">
        <is>
          <t>backup log、restore test、DR drill report</t>
        </is>
      </c>
      <c r="O27" s="14" t="inlineStr">
        <is>
          <t>支援備份與還原機制</t>
        </is>
      </c>
      <c r="P27" s="14" t="inlineStr">
        <is>
          <t>Partial</t>
        </is>
      </c>
      <c r="Q27" s="14" t="inlineStr">
        <is>
          <t>補 systemd/timer、DR playbook、演練紀錄</t>
        </is>
      </c>
      <c r="R27" s="14" t="inlineStr">
        <is>
          <t>DevOps / Backend</t>
        </is>
      </c>
      <c r="S27" s="14" t="inlineStr">
        <is>
          <t>P1</t>
        </is>
      </c>
      <c r="T27" s="14" t="inlineStr">
        <is>
          <t>Customer Deliverable</t>
        </is>
      </c>
    </row>
    <row r="28" ht="70" customHeight="1" s="6">
      <c r="A28" s="14" t="inlineStr">
        <is>
          <t>CAP-024</t>
        </is>
      </c>
      <c r="B28" s="14" t="inlineStr">
        <is>
          <t>Deployment / Health Check</t>
        </is>
      </c>
      <c r="C28" s="14" t="inlineStr">
        <is>
          <t>Ops / Deployment</t>
        </is>
      </c>
      <c r="D28" s="14" t="inlineStr">
        <is>
          <t>部署拓撲、健康檢查、metrics、憑證、服務啟停與維運手冊。</t>
        </is>
      </c>
      <c r="E28" s="14" t="inlineStr">
        <is>
          <t>GP4</t>
        </is>
      </c>
      <c r="F28" s="14" t="inlineStr">
        <is>
          <t>DevOps、客戶 IT、資安</t>
        </is>
      </c>
      <c r="G28" s="14" t="inlineStr">
        <is>
          <t>L1</t>
        </is>
      </c>
      <c r="H28" s="14" t="inlineStr">
        <is>
          <t>L3</t>
        </is>
      </c>
      <c r="I28" s="14" t="inlineStr">
        <is>
          <t>新工程師可照文件部署；health/metrics 可監控；prod 強制 TLS。</t>
        </is>
      </c>
      <c r="J28" s="14" t="inlineStr">
        <is>
          <t>GovOps</t>
        </is>
      </c>
      <c r="K28" s="14" t="inlineStr">
        <is>
          <t>C3；STRICT_TLS；nginx/step-ca；systemd。</t>
        </is>
      </c>
      <c r="L28" s="14" t="inlineStr">
        <is>
          <t>NIST CM / SC / Operations</t>
        </is>
      </c>
      <c r="M28" s="14" t="inlineStr">
        <is>
          <t>Medium</t>
        </is>
      </c>
      <c r="N28" s="14" t="inlineStr">
        <is>
          <t>部署 runbook、health output、TLS 驗證</t>
        </is>
      </c>
      <c r="O28" s="14" t="inlineStr">
        <is>
          <t>支援可維運部署</t>
        </is>
      </c>
      <c r="P28" s="14" t="inlineStr">
        <is>
          <t>Partial</t>
        </is>
      </c>
      <c r="Q28" s="14" t="inlineStr">
        <is>
          <t>補 deployment architecture 與 runbook</t>
        </is>
      </c>
      <c r="R28" s="14" t="inlineStr">
        <is>
          <t>DevOps</t>
        </is>
      </c>
      <c r="S28" s="14" t="inlineStr">
        <is>
          <t>P1</t>
        </is>
      </c>
      <c r="T28" s="14" t="inlineStr">
        <is>
          <t>Customer Deliverable</t>
        </is>
      </c>
    </row>
    <row r="29" ht="70" customHeight="1" s="6">
      <c r="A29" s="14" t="inlineStr">
        <is>
          <t>CAP-025</t>
        </is>
      </c>
      <c r="B29" s="14" t="inlineStr">
        <is>
          <t>Product Edition Gate</t>
        </is>
      </c>
      <c r="C29" s="14" t="inlineStr">
        <is>
          <t>Product / Commercial</t>
        </is>
      </c>
      <c r="D29" s="14" t="inlineStr">
        <is>
          <t>Demo、Exercise Pro、GovOps、Tactical 的功能、合規、宣稱與安全邊界。</t>
        </is>
      </c>
      <c r="E29" s="14" t="inlineStr">
        <is>
          <t>GP4</t>
        </is>
      </c>
      <c r="F29" s="14" t="inlineStr">
        <is>
          <t>PM、業務、法務</t>
        </is>
      </c>
      <c r="G29" s="14" t="inlineStr">
        <is>
          <t>L0</t>
        </is>
      </c>
      <c r="H29" s="14" t="inlineStr">
        <is>
          <t>L3</t>
        </is>
      </c>
      <c r="I29" s="14" t="inlineStr">
        <is>
          <t>每版功能/限制/最低安全控制/可宣稱用語清楚；授權 gate 可驗證。</t>
        </is>
      </c>
      <c r="J29" s="14" t="inlineStr">
        <is>
          <t>全部</t>
        </is>
      </c>
      <c r="K29" s="14" t="inlineStr">
        <is>
          <t>License signature；claim guide；acceptance matrix。</t>
        </is>
      </c>
      <c r="L29" s="14" t="inlineStr">
        <is>
          <t>Procurement / Sales governance</t>
        </is>
      </c>
      <c r="M29" s="14" t="inlineStr">
        <is>
          <t>Low</t>
        </is>
      </c>
      <c r="N29" s="14" t="inlineStr">
        <is>
          <t>edition matrix、license tests、claim guide</t>
        </is>
      </c>
      <c r="O29" s="14" t="inlineStr">
        <is>
          <t>支援分層產品交付</t>
        </is>
      </c>
      <c r="P29" s="14" t="inlineStr">
        <is>
          <t>Not Started</t>
        </is>
      </c>
      <c r="Q29" s="14" t="inlineStr">
        <is>
          <t>建立 edition_feature_matrix 與 license gate</t>
        </is>
      </c>
      <c r="R29" s="14" t="inlineStr">
        <is>
          <t>PM / Legal / Product</t>
        </is>
      </c>
      <c r="S29" s="14" t="inlineStr">
        <is>
          <t>P0</t>
        </is>
      </c>
      <c r="T29" s="14" t="inlineStr">
        <is>
          <t>Customer Deliverable</t>
        </is>
      </c>
    </row>
    <row r="30" ht="70" customHeight="1" s="6">
      <c r="A30" s="14" t="inlineStr">
        <is>
          <t>CAP-026</t>
        </is>
      </c>
      <c r="B30" s="14" t="inlineStr">
        <is>
          <t>Claim Language Guardrail</t>
        </is>
      </c>
      <c r="C30" s="14" t="inlineStr">
        <is>
          <t>Product / Compliance</t>
        </is>
      </c>
      <c r="D30" s="14" t="inlineStr">
        <is>
          <t>定義可以說、謹慎說、不可說的合規與功能宣稱。</t>
        </is>
      </c>
      <c r="E30" s="14" t="inlineStr">
        <is>
          <t>GP4</t>
        </is>
      </c>
      <c r="F30" s="14" t="inlineStr">
        <is>
          <t>業務、法務、PM</t>
        </is>
      </c>
      <c r="G30" s="14" t="inlineStr">
        <is>
          <t>L1</t>
        </is>
      </c>
      <c r="H30" s="14" t="inlineStr">
        <is>
          <t>L3</t>
        </is>
      </c>
      <c r="I30" s="14" t="inlineStr">
        <is>
          <t>所有 sales copy 與標案文字遵守 claim guide；避免 NIST/FEMA 過度宣稱。</t>
        </is>
      </c>
      <c r="J30" s="14" t="inlineStr">
        <is>
          <t>全部</t>
        </is>
      </c>
      <c r="K30" s="14" t="inlineStr">
        <is>
          <t>需結合實際 evidence 與 profile。</t>
        </is>
      </c>
      <c r="L30" s="14" t="inlineStr">
        <is>
          <t>Procurement / Legal</t>
        </is>
      </c>
      <c r="M30" s="14" t="inlineStr">
        <is>
          <t>Low</t>
        </is>
      </c>
      <c r="N30" s="14" t="inlineStr">
        <is>
          <t>claim guide、審查紀錄</t>
        </is>
      </c>
      <c r="O30" s="14" t="inlineStr">
        <is>
          <t>參考/對齊，而非 certified</t>
        </is>
      </c>
      <c r="P30" s="14" t="inlineStr">
        <is>
          <t>Partial</t>
        </is>
      </c>
      <c r="Q30" s="14" t="inlineStr">
        <is>
          <t>將 claim guide 納入 release/標案審查</t>
        </is>
      </c>
      <c r="R30" s="14" t="inlineStr">
        <is>
          <t>Legal / PM</t>
        </is>
      </c>
      <c r="S30" s="14" t="inlineStr">
        <is>
          <t>P0</t>
        </is>
      </c>
      <c r="T30" s="14" t="inlineStr">
        <is>
          <t>Internal Only</t>
        </is>
      </c>
    </row>
    <row r="31" ht="70" customHeight="1" s="6">
      <c r="A31" s="14" t="inlineStr">
        <is>
          <t>CAP-027</t>
        </is>
      </c>
      <c r="B31" s="14" t="inlineStr">
        <is>
          <t>Data Classification / Retention</t>
        </is>
      </c>
      <c r="C31" s="14" t="inlineStr">
        <is>
          <t>Data Governance</t>
        </is>
      </c>
      <c r="D31" s="14" t="inlineStr">
        <is>
          <t>資料分類、保存期限、匯出限制、清除、去識別化與訓練用途。</t>
        </is>
      </c>
      <c r="E31" s="14" t="inlineStr">
        <is>
          <t>GP3, GP4, GP5</t>
        </is>
      </c>
      <c r="F31" s="14" t="inlineStr">
        <is>
          <t>PM、法務、資安、客戶</t>
        </is>
      </c>
      <c r="G31" s="14" t="inlineStr">
        <is>
          <t>L0</t>
        </is>
      </c>
      <c r="H31" s="14" t="inlineStr">
        <is>
          <t>L3</t>
        </is>
      </c>
      <c r="I31" s="14" t="inlineStr">
        <is>
          <t>每類資料有敏感度、保存期、匯出、加密、AAR/AI 使用規則。</t>
        </is>
      </c>
      <c r="J31" s="14" t="inlineStr">
        <is>
          <t>GovOps / Tactical</t>
        </is>
      </c>
      <c r="K31" s="14" t="inlineStr">
        <is>
          <t>PII policy；training data consent；retention。</t>
        </is>
      </c>
      <c r="L31" s="14" t="inlineStr">
        <is>
          <t>個資法 / NIST PT / Privacy</t>
        </is>
      </c>
      <c r="M31" s="14" t="inlineStr">
        <is>
          <t>High</t>
        </is>
      </c>
      <c r="N31" s="14" t="inlineStr">
        <is>
          <t>資料分類表、保存政策、清除紀錄</t>
        </is>
      </c>
      <c r="O31" s="14" t="inlineStr">
        <is>
          <t>支援資料治理與保存策略</t>
        </is>
      </c>
      <c r="P31" s="14" t="inlineStr">
        <is>
          <t>Not Started</t>
        </is>
      </c>
      <c r="Q31" s="14" t="inlineStr">
        <is>
          <t>建立 data classification &amp; retention matrix</t>
        </is>
      </c>
      <c r="R31" s="14" t="inlineStr">
        <is>
          <t>Data / Legal / Security</t>
        </is>
      </c>
      <c r="S31" s="14" t="inlineStr">
        <is>
          <t>P1</t>
        </is>
      </c>
      <c r="T31" s="14" t="inlineStr">
        <is>
          <t>Customer Deliverable</t>
        </is>
      </c>
    </row>
    <row r="32" ht="70" customHeight="1" s="6">
      <c r="A32" s="14" t="inlineStr">
        <is>
          <t>CAP-028</t>
        </is>
      </c>
      <c r="B32" s="14" t="inlineStr">
        <is>
          <t>AI Summary / Classification</t>
        </is>
      </c>
      <c r="C32" s="14" t="inlineStr">
        <is>
          <t>AI</t>
        </is>
      </c>
      <c r="D32" s="14" t="inlineStr">
        <is>
          <t>AI 將文字/語音紀錄整理、分類與摘要，供人工確認。</t>
        </is>
      </c>
      <c r="E32" s="14" t="inlineStr">
        <is>
          <t>GP1, GP2</t>
        </is>
      </c>
      <c r="F32" s="14" t="inlineStr">
        <is>
          <t>幕僚、AAR 分析者</t>
        </is>
      </c>
      <c r="G32" s="14" t="inlineStr">
        <is>
          <t>L0</t>
        </is>
      </c>
      <c r="H32" s="14" t="inlineStr">
        <is>
          <t>L2</t>
        </is>
      </c>
      <c r="I32" s="14" t="inlineStr">
        <is>
          <t>AI 只產生草稿；必須標示來源與信心；人工批准後才入報告。</t>
        </is>
      </c>
      <c r="J32" s="14" t="inlineStr">
        <is>
          <t>Flagship / GovOps optional</t>
        </is>
      </c>
      <c r="K32" s="14" t="inlineStr">
        <is>
          <t>AI governance；PII redaction；human-in-the-loop。</t>
        </is>
      </c>
      <c r="L32" s="14" t="inlineStr">
        <is>
          <t>AI governance / Privacy</t>
        </is>
      </c>
      <c r="M32" s="14" t="inlineStr">
        <is>
          <t>Medium–High</t>
        </is>
      </c>
      <c r="N32" s="14" t="inlineStr">
        <is>
          <t>AI output log、source attribution、approval record</t>
        </is>
      </c>
      <c r="O32" s="14" t="inlineStr">
        <is>
          <t>AI 輔助整理，不取代指揮決策</t>
        </is>
      </c>
      <c r="P32" s="14" t="inlineStr">
        <is>
          <t>Not Started</t>
        </is>
      </c>
      <c r="Q32" s="14" t="inlineStr">
        <is>
          <t>先做 AI capability ladder，從 AAR 草稿開始</t>
        </is>
      </c>
      <c r="R32" s="14" t="inlineStr">
        <is>
          <t>AI / Product</t>
        </is>
      </c>
      <c r="S32" s="14" t="inlineStr">
        <is>
          <t>P3</t>
        </is>
      </c>
      <c r="T32" s="14" t="inlineStr">
        <is>
          <t>Customer Summary</t>
        </is>
      </c>
    </row>
    <row r="33" ht="70" customHeight="1" s="6">
      <c r="A33" s="14" t="inlineStr">
        <is>
          <t>CAP-029</t>
        </is>
      </c>
      <c r="B33" s="14" t="inlineStr">
        <is>
          <t>AI AAR Draft</t>
        </is>
      </c>
      <c r="C33" s="14" t="inlineStr">
        <is>
          <t>AI / AAR</t>
        </is>
      </c>
      <c r="D33" s="14" t="inlineStr">
        <is>
          <t>根據 timeline、事件、決策、回報產生 AAR 草稿。</t>
        </is>
      </c>
      <c r="E33" s="14" t="inlineStr">
        <is>
          <t>GP1</t>
        </is>
      </c>
      <c r="F33" s="14" t="inlineStr">
        <is>
          <t>AAR 分析者、演訓顧問</t>
        </is>
      </c>
      <c r="G33" s="14" t="inlineStr">
        <is>
          <t>L0</t>
        </is>
      </c>
      <c r="H33" s="14" t="inlineStr">
        <is>
          <t>L2</t>
        </is>
      </c>
      <c r="I33" s="14" t="inlineStr">
        <is>
          <t>草稿可追溯來源；人工審核；不得自動輸出正式結論。</t>
        </is>
      </c>
      <c r="J33" s="14" t="inlineStr">
        <is>
          <t>Flagship / Exercise Pro optional</t>
        </is>
      </c>
      <c r="K33" s="14" t="inlineStr">
        <is>
          <t>AI governance；AAR reproducibility。</t>
        </is>
      </c>
      <c r="L33" s="14" t="inlineStr">
        <is>
          <t>HSEEP AAR-IP / AI governance</t>
        </is>
      </c>
      <c r="M33" s="14" t="inlineStr">
        <is>
          <t>Medium</t>
        </is>
      </c>
      <c r="N33" s="14" t="inlineStr">
        <is>
          <t>草稿樣本、來源引用、審核紀錄</t>
        </is>
      </c>
      <c r="O33" s="14" t="inlineStr">
        <is>
          <t>AI 輔助 AAR 草稿生成</t>
        </is>
      </c>
      <c r="P33" s="14" t="inlineStr">
        <is>
          <t>Not Started</t>
        </is>
      </c>
      <c r="Q33" s="14" t="inlineStr">
        <is>
          <t>建立 AAR source map 後再導入 AI</t>
        </is>
      </c>
      <c r="R33" s="14" t="inlineStr">
        <is>
          <t>AI / AAR</t>
        </is>
      </c>
      <c r="S33" s="14" t="inlineStr">
        <is>
          <t>P3</t>
        </is>
      </c>
      <c r="T33" s="14" t="inlineStr">
        <is>
          <t>Customer Summary</t>
        </is>
      </c>
    </row>
    <row r="34" ht="70" customHeight="1" s="6">
      <c r="A34" s="14" t="inlineStr">
        <is>
          <t>CAP-030</t>
        </is>
      </c>
      <c r="B34" s="14" t="inlineStr">
        <is>
          <t>Silent Scribe</t>
        </is>
      </c>
      <c r="C34" s="14" t="inlineStr">
        <is>
          <t>Tactical / AI</t>
        </is>
      </c>
      <c r="D34" s="14" t="inlineStr">
        <is>
          <t>戰術版語音/現場紀錄工具，以 ICS_DMAS 為後端，但屬獨立產品線。</t>
        </is>
      </c>
      <c r="E34" s="14" t="inlineStr">
        <is>
          <t>GP2, GP5</t>
        </is>
      </c>
      <c r="F34" s="14" t="inlineStr">
        <is>
          <t>前線人員、民防/準軍事組織</t>
        </is>
      </c>
      <c r="G34" s="14" t="inlineStr">
        <is>
          <t>L0</t>
        </is>
      </c>
      <c r="H34" s="14" t="inlineStr">
        <is>
          <t>L2</t>
        </is>
      </c>
      <c r="I34" s="14" t="inlineStr">
        <is>
          <t>語音轉事件草稿；不可直接下決策；資料可加密與安全清除。</t>
        </is>
      </c>
      <c r="J34" s="14" t="inlineStr">
        <is>
          <t>Tactical</t>
        </is>
      </c>
      <c r="K34" s="14" t="inlineStr">
        <is>
          <t>mTLS/WireGuard；Panic Wipe；PII/tactical data governance。</t>
        </is>
      </c>
      <c r="L34" s="14" t="inlineStr">
        <is>
          <t>High-sensitivity field operations</t>
        </is>
      </c>
      <c r="M34" s="14" t="inlineStr">
        <is>
          <t>Critical：戰術/位置/語音</t>
        </is>
      </c>
      <c r="N34" s="14" t="inlineStr">
        <is>
          <t>安全設計、裝置測試、資料銷毀紀錄</t>
        </is>
      </c>
      <c r="O34" s="14" t="inlineStr">
        <is>
          <t>高敏感版本需獨立驗收</t>
        </is>
      </c>
      <c r="P34" s="14" t="inlineStr">
        <is>
          <t>Not Started</t>
        </is>
      </c>
      <c r="Q34" s="14" t="inlineStr">
        <is>
          <t>保持與 GovOps 分線，不併入基礎產品</t>
        </is>
      </c>
      <c r="R34" s="14" t="inlineStr">
        <is>
          <t>Tactical / AI / Security</t>
        </is>
      </c>
      <c r="S34" s="14" t="inlineStr">
        <is>
          <t>P4</t>
        </is>
      </c>
      <c r="T34" s="14" t="inlineStr">
        <is>
          <t>Partner Restricted</t>
        </is>
      </c>
    </row>
    <row r="35" ht="70" customHeight="1" s="6">
      <c r="A35" s="14" t="inlineStr">
        <is>
          <t>CAP-031</t>
        </is>
      </c>
      <c r="B35" s="14" t="inlineStr">
        <is>
          <t>Incident Response Playbook</t>
        </is>
      </c>
      <c r="C35" s="14" t="inlineStr">
        <is>
          <t>Ops / Security</t>
        </is>
      </c>
      <c r="D35" s="14" t="inlineStr">
        <is>
          <t>資安事件、資料污染、Pi 被奪、個資外洩、同步異常的處置流程。</t>
        </is>
      </c>
      <c r="E35" s="14" t="inlineStr">
        <is>
          <t>GP5</t>
        </is>
      </c>
      <c r="F35" s="14" t="inlineStr">
        <is>
          <t>資安、DevOps、客戶 IT</t>
        </is>
      </c>
      <c r="G35" s="14" t="inlineStr">
        <is>
          <t>L0</t>
        </is>
      </c>
      <c r="H35" s="14" t="inlineStr">
        <is>
          <t>L3</t>
        </is>
      </c>
      <c r="I35" s="14" t="inlineStr">
        <is>
          <t>有分類、通報、隔離、復原、證據保存與桌上演練紀錄。</t>
        </is>
      </c>
      <c r="J35" s="14" t="inlineStr">
        <is>
          <t>GovOps / Tactical</t>
        </is>
      </c>
      <c r="K35" s="14" t="inlineStr">
        <is>
          <t>C1/C3；IR/DR；audit evidence。</t>
        </is>
      </c>
      <c r="L35" s="14" t="inlineStr">
        <is>
          <t>NIST 800-61 / CSF Respond</t>
        </is>
      </c>
      <c r="M35" s="14" t="inlineStr">
        <is>
          <t>High</t>
        </is>
      </c>
      <c r="N35" s="14" t="inlineStr">
        <is>
          <t>IR playbook、演練紀錄、post-incident template</t>
        </is>
      </c>
      <c r="O35" s="14" t="inlineStr">
        <is>
          <t>支援事件應變流程</t>
        </is>
      </c>
      <c r="P35" s="14" t="inlineStr">
        <is>
          <t>Not Started</t>
        </is>
      </c>
      <c r="Q35" s="14" t="inlineStr">
        <is>
          <t>先針對資料污染與 Pi compromise 建立 playbook</t>
        </is>
      </c>
      <c r="R35" s="14" t="inlineStr">
        <is>
          <t>Security / Ops</t>
        </is>
      </c>
      <c r="S35" s="14" t="inlineStr">
        <is>
          <t>P2</t>
        </is>
      </c>
      <c r="T35" s="14" t="inlineStr">
        <is>
          <t>Customer Deliverable</t>
        </is>
      </c>
    </row>
    <row r="36" ht="70" customHeight="1" s="6">
      <c r="A36" s="14" t="inlineStr">
        <is>
          <t>CAP-032</t>
        </is>
      </c>
      <c r="B36" s="14" t="inlineStr">
        <is>
          <t>Accessibility / WCAG</t>
        </is>
      </c>
      <c r="C36" s="14" t="inlineStr">
        <is>
          <t>Quality / Accessibility</t>
        </is>
      </c>
      <c r="D36" s="14" t="inlineStr">
        <is>
          <t>三端 PWA 與儀表板達到基本無障礙與現場可用性。</t>
        </is>
      </c>
      <c r="E36" s="14" t="inlineStr">
        <is>
          <t>GP4</t>
        </is>
      </c>
      <c r="F36" s="14" t="inlineStr">
        <is>
          <t>QA、PM、客戶驗收</t>
        </is>
      </c>
      <c r="G36" s="14" t="inlineStr">
        <is>
          <t>L0</t>
        </is>
      </c>
      <c r="H36" s="14" t="inlineStr">
        <is>
          <t>L3</t>
        </is>
      </c>
      <c r="I36" s="14" t="inlineStr">
        <is>
          <t>WCAG AA 測試；關鍵操作可鍵盤/讀屏；字體與對比符合。</t>
        </is>
      </c>
      <c r="J36" s="14" t="inlineStr">
        <is>
          <t>GovOps / C6</t>
        </is>
      </c>
      <c r="K36" s="14" t="inlineStr">
        <is>
          <t>C6；accessibility test plan。</t>
        </is>
      </c>
      <c r="L36" s="14" t="inlineStr">
        <is>
          <t>WCAG 2.0 AA / Procurement</t>
        </is>
      </c>
      <c r="M36" s="14" t="inlineStr">
        <is>
          <t>Low</t>
        </is>
      </c>
      <c r="N36" s="14" t="inlineStr">
        <is>
          <t>WCAG report、Lighthouse、manual tests</t>
        </is>
      </c>
      <c r="O36" s="14" t="inlineStr">
        <is>
          <t>支援無障礙驗收（完成後）</t>
        </is>
      </c>
      <c r="P36" s="14" t="inlineStr">
        <is>
          <t>Not Started</t>
        </is>
      </c>
      <c r="Q36" s="14" t="inlineStr">
        <is>
          <t>建立 accessibility test plan</t>
        </is>
      </c>
      <c r="R36" s="14" t="inlineStr">
        <is>
          <t>QA / Frontend</t>
        </is>
      </c>
      <c r="S36" s="14" t="inlineStr">
        <is>
          <t>P3</t>
        </is>
      </c>
      <c r="T36" s="14" t="inlineStr">
        <is>
          <t>Customer Deliverable</t>
        </is>
      </c>
    </row>
    <row r="37" ht="70" customHeight="1" s="6">
      <c r="A37" s="14" t="inlineStr">
        <is>
          <t>CAP-033</t>
        </is>
      </c>
      <c r="B37" s="14" t="inlineStr">
        <is>
          <t>Field Usability</t>
        </is>
      </c>
      <c r="C37" s="14" t="inlineStr">
        <is>
          <t>UX / Field</t>
        </is>
      </c>
      <c r="D37" s="14" t="inlineStr">
        <is>
          <t>災害現場壓力、低光、平板、戴手套、志工操作下的可用性。</t>
        </is>
      </c>
      <c r="E37" s="14" t="inlineStr">
        <is>
          <t>GP2, GP3</t>
        </is>
      </c>
      <c r="F37" s="14" t="inlineStr">
        <is>
          <t>PM、UX、演訓顧問、現場操作員</t>
        </is>
      </c>
      <c r="G37" s="14" t="inlineStr">
        <is>
          <t>L0</t>
        </is>
      </c>
      <c r="H37" s="14" t="inlineStr">
        <is>
          <t>L2</t>
        </is>
      </c>
      <c r="I37" s="14" t="inlineStr">
        <is>
          <t>關鍵填報流程少步驟；離線/同步狀態清楚；錯誤可回復。</t>
        </is>
      </c>
      <c r="J37" s="14" t="inlineStr">
        <is>
          <t>Exercise Pro / Tactical</t>
        </is>
      </c>
      <c r="K37" s="14" t="inlineStr">
        <is>
          <t>不直接是資安，但影響資料品質與採用率。</t>
        </is>
      </c>
      <c r="L37" s="14" t="inlineStr">
        <is>
          <t>Operational usability</t>
        </is>
      </c>
      <c r="M37" s="14" t="inlineStr">
        <is>
          <t>Medium：可能造成錯誤資料</t>
        </is>
      </c>
      <c r="N37" s="14" t="inlineStr">
        <is>
          <t>field test checklist、觀察紀錄、UX issue list</t>
        </is>
      </c>
      <c r="O37" s="14" t="inlineStr">
        <is>
          <t>支援現場操作友善性</t>
        </is>
      </c>
      <c r="P37" s="14" t="inlineStr">
        <is>
          <t>Not Started</t>
        </is>
      </c>
      <c r="Q37" s="14" t="inlineStr">
        <is>
          <t>安排 tabletop + field usability test</t>
        </is>
      </c>
      <c r="R37" s="14" t="inlineStr">
        <is>
          <t>UX / Product</t>
        </is>
      </c>
      <c r="S37" s="14" t="inlineStr">
        <is>
          <t>P2</t>
        </is>
      </c>
      <c r="T37" s="14" t="inlineStr">
        <is>
          <t>Customer Summary</t>
        </is>
      </c>
    </row>
    <row r="38" ht="70" customHeight="1" s="6">
      <c r="A38" s="14" t="inlineStr">
        <is>
          <t>CAP-034</t>
        </is>
      </c>
      <c r="B38" s="14" t="inlineStr">
        <is>
          <t>Release Evidence Pack</t>
        </is>
      </c>
      <c r="C38" s="14" t="inlineStr">
        <is>
          <t>Release / Procurement</t>
        </is>
      </c>
      <c r="D38" s="14" t="inlineStr">
        <is>
          <t>每版 release 的測試、SBOM、弱掃、備份驗證、合規對照與已知限制。</t>
        </is>
      </c>
      <c r="E38" s="14" t="inlineStr">
        <is>
          <t>GP4</t>
        </is>
      </c>
      <c r="F38" s="14" t="inlineStr">
        <is>
          <t>PM、DevOps、標案、客戶資安</t>
        </is>
      </c>
      <c r="G38" s="14" t="inlineStr">
        <is>
          <t>L0</t>
        </is>
      </c>
      <c r="H38" s="14" t="inlineStr">
        <is>
          <t>L3</t>
        </is>
      </c>
      <c r="I38" s="14" t="inlineStr">
        <is>
          <t>每版有 coverage、SAST/SCA、SBOM、known issues、backup verify、acceptance matrix。</t>
        </is>
      </c>
      <c r="J38" s="14" t="inlineStr">
        <is>
          <t>GovOps / C6</t>
        </is>
      </c>
      <c r="K38" s="14" t="inlineStr">
        <is>
          <t>C2/C6；no high/critical for release gate。</t>
        </is>
      </c>
      <c r="L38" s="14" t="inlineStr">
        <is>
          <t>NIST SSDF / Supply Chain</t>
        </is>
      </c>
      <c r="M38" s="14" t="inlineStr">
        <is>
          <t>Low–High：視附錄</t>
        </is>
      </c>
      <c r="N38" s="14" t="inlineStr">
        <is>
          <t>release evidence pack、SBOM、scan report</t>
        </is>
      </c>
      <c r="O38" s="14" t="inlineStr">
        <is>
          <t>可提供交付證據包</t>
        </is>
      </c>
      <c r="P38" s="14" t="inlineStr">
        <is>
          <t>Not Started</t>
        </is>
      </c>
      <c r="Q38" s="14" t="inlineStr">
        <is>
          <t>建立 evidence_pack_template 與 CI artifacts</t>
        </is>
      </c>
      <c r="R38" s="14" t="inlineStr">
        <is>
          <t>Release / DevOps</t>
        </is>
      </c>
      <c r="S38" s="14" t="inlineStr">
        <is>
          <t>P1</t>
        </is>
      </c>
      <c r="T38" s="14" t="inlineStr">
        <is>
          <t>Customer Deliverable</t>
        </is>
      </c>
    </row>
  </sheetData>
  <mergeCells count="2">
    <mergeCell ref="A1:T1"/>
    <mergeCell ref="A2:T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cols>
    <col width="12" customWidth="1" style="6" min="1" max="1"/>
    <col width="34" customWidth="1" style="6" min="2" max="2"/>
    <col width="78" customWidth="1" style="6" min="3" max="3"/>
    <col width="28" customWidth="1" style="6" min="4" max="4"/>
  </cols>
  <sheetData>
    <row r="1" ht="28" customHeight="1" s="6">
      <c r="A1" s="21" t="inlineStr">
        <is>
          <t>Golden Paths</t>
        </is>
      </c>
      <c r="B1" s="9" t="n"/>
      <c r="C1" s="9" t="n"/>
      <c r="D1" s="9" t="n"/>
      <c r="E1" s="17" t="n"/>
      <c r="F1" s="17" t="n"/>
      <c r="G1" s="17" t="n"/>
      <c r="H1" s="17" t="n"/>
      <c r="I1" s="17" t="n"/>
      <c r="J1" s="17" t="n"/>
      <c r="K1" s="17" t="n"/>
      <c r="L1" s="17" t="n"/>
      <c r="M1" s="17" t="n"/>
      <c r="N1" s="17" t="n"/>
      <c r="O1" s="17" t="n"/>
      <c r="P1" s="17" t="n"/>
      <c r="Q1" s="17" t="n"/>
      <c r="R1" s="17" t="n"/>
      <c r="S1" s="17" t="n"/>
      <c r="T1" s="17" t="n"/>
      <c r="U1" s="17" t="n"/>
      <c r="V1" s="17" t="n"/>
      <c r="W1" s="17" t="n"/>
      <c r="X1" s="17" t="n"/>
      <c r="Y1" s="17" t="n"/>
      <c r="Z1" s="17" t="n"/>
    </row>
    <row r="2" ht="34" customHeight="1" s="6">
      <c r="A2" s="5" t="inlineStr">
        <is>
          <t>端到端產品主線，用來確認 capability 是否真的串成可演示、可演訓、可驗收的工作流。</t>
        </is>
      </c>
      <c r="B2" s="9" t="n"/>
      <c r="C2" s="9" t="n"/>
      <c r="D2" s="9" t="n"/>
    </row>
    <row r="4" ht="34" customHeight="1" s="6">
      <c r="A4" s="8" t="inlineStr">
        <is>
          <t>GP ID</t>
        </is>
      </c>
      <c r="B4" s="8" t="inlineStr">
        <is>
          <t>Golden Path</t>
        </is>
      </c>
      <c r="C4" s="8" t="inlineStr">
        <is>
          <t>Description</t>
        </is>
      </c>
      <c r="D4" s="8" t="inlineStr">
        <is>
          <t>Primary Use</t>
        </is>
      </c>
    </row>
    <row r="5" ht="52" customHeight="1" s="6">
      <c r="A5" s="14" t="inlineStr">
        <is>
          <t>GP1</t>
        </is>
      </c>
      <c r="B5" s="14" t="inlineStr">
        <is>
          <t>TTX → 決策 → AAR</t>
        </is>
      </c>
      <c r="C5" s="14" t="inlineStr">
        <is>
          <t>演訓建立、狀況注入、受訓單位回應、指揮決策、事件時間線、AAR 與改善事項。</t>
        </is>
      </c>
      <c r="D5" s="14" t="inlineStr">
        <is>
          <t>C5 land-and-expand / Exercise Pro</t>
        </is>
      </c>
    </row>
    <row r="6" ht="52" customHeight="1" s="6">
      <c r="A6" s="14" t="inlineStr">
        <is>
          <t>GP2</t>
        </is>
      </c>
      <c r="B6" s="14" t="inlineStr">
        <is>
          <t>現場回報 → COP → 任務/決策 → 回報</t>
        </is>
      </c>
      <c r="C6" s="14" t="inlineStr">
        <is>
          <t>收容、醫療、前進組或 Field Node 回報進入 COP，指揮部決策並追蹤任務回報。</t>
        </is>
      </c>
      <c r="D6" s="14" t="inlineStr">
        <is>
          <t>Exercise Pro / GovOps</t>
        </is>
      </c>
    </row>
    <row r="7" ht="52" customHeight="1" s="6">
      <c r="A7" s="14" t="inlineStr">
        <is>
          <t>GP3</t>
        </is>
      </c>
      <c r="B7" s="14" t="inlineStr">
        <is>
          <t>斷網 → 離線資料 → 恢復同步 → AAR 可追溯</t>
        </is>
      </c>
      <c r="C7" s="14" t="inlineStr">
        <is>
          <t>PWA / Pi / QR 在斷網下暫存與恢復同步，衝突處理後保留來源、時間差與採納狀態。</t>
        </is>
      </c>
      <c r="D7" s="14" t="inlineStr">
        <is>
          <t>Exercise Pro / GovOps / Tactical</t>
        </is>
      </c>
    </row>
    <row r="8" ht="52" customHeight="1" s="6">
      <c r="A8" s="14" t="inlineStr">
        <is>
          <t>GP4</t>
        </is>
      </c>
      <c r="B8" s="14" t="inlineStr">
        <is>
          <t>部署 → 驗收 → 證據包</t>
        </is>
      </c>
      <c r="C8" s="14" t="inlineStr">
        <is>
          <t>客戶部署、健康檢查、備份還原、測試報告、SBOM、弱掃與驗收文件交付。</t>
        </is>
      </c>
      <c r="D8" s="14" t="inlineStr">
        <is>
          <t>GovOps / C6</t>
        </is>
      </c>
    </row>
    <row r="9" ht="52" customHeight="1" s="6">
      <c r="A9" s="14" t="inlineStr">
        <is>
          <t>GP5</t>
        </is>
      </c>
      <c r="B9" s="14" t="inlineStr">
        <is>
          <t>真實災害輔助 → IR/DR → 稽核保存</t>
        </is>
      </c>
      <c r="C9" s="14" t="inlineStr">
        <is>
          <t>支援高敏感資料、事件應變、復原演練、不可竄改紀錄與長期稽核保存。</t>
        </is>
      </c>
      <c r="D9" s="14" t="inlineStr">
        <is>
          <t>GovOps / Tactical / C6</t>
        </is>
      </c>
    </row>
  </sheetData>
  <mergeCells count="2">
    <mergeCell ref="A1:D1"/>
    <mergeCell ref="A2:D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cols>
    <col width="10" customWidth="1" style="6" min="1" max="1"/>
    <col width="22" customWidth="1" style="6" min="2" max="2"/>
    <col width="78" customWidth="1" style="6" min="3" max="3"/>
    <col width="50" customWidth="1" style="6" min="4" max="4"/>
  </cols>
  <sheetData>
    <row r="1" ht="28" customHeight="1" s="6">
      <c r="A1" s="21" t="inlineStr">
        <is>
          <t>Maturity Definitions</t>
        </is>
      </c>
      <c r="B1" s="9" t="n"/>
      <c r="C1" s="9" t="n"/>
      <c r="D1" s="9" t="n"/>
      <c r="E1" s="17" t="n"/>
      <c r="F1" s="17" t="n"/>
      <c r="G1" s="17" t="n"/>
      <c r="H1" s="17" t="n"/>
      <c r="I1" s="17" t="n"/>
      <c r="J1" s="17" t="n"/>
      <c r="K1" s="17" t="n"/>
      <c r="L1" s="17" t="n"/>
      <c r="M1" s="17" t="n"/>
      <c r="N1" s="17" t="n"/>
      <c r="O1" s="17" t="n"/>
      <c r="P1" s="17" t="n"/>
      <c r="Q1" s="17" t="n"/>
      <c r="R1" s="17" t="n"/>
      <c r="S1" s="17" t="n"/>
      <c r="T1" s="17" t="n"/>
      <c r="U1" s="17" t="n"/>
      <c r="V1" s="17" t="n"/>
      <c r="W1" s="17" t="n"/>
      <c r="X1" s="17" t="n"/>
      <c r="Y1" s="17" t="n"/>
      <c r="Z1" s="17" t="n"/>
    </row>
    <row r="2" ht="34" customHeight="1" s="6">
      <c r="A2" s="5" t="inlineStr">
        <is>
          <t>用 L0–L4 區分『有功能』與『可交付、可稽核、可支援高敏感場景』。</t>
        </is>
      </c>
      <c r="B2" s="9" t="n"/>
      <c r="C2" s="9" t="n"/>
      <c r="D2" s="9" t="n"/>
    </row>
    <row r="4" ht="34" customHeight="1" s="6">
      <c r="A4" s="8" t="inlineStr">
        <is>
          <t>Level</t>
        </is>
      </c>
      <c r="B4" s="8" t="inlineStr">
        <is>
          <t>Name</t>
        </is>
      </c>
      <c r="C4" s="8" t="inlineStr">
        <is>
          <t>Definition</t>
        </is>
      </c>
      <c r="D4" s="8" t="inlineStr">
        <is>
          <t>Claim Boundary</t>
        </is>
      </c>
    </row>
    <row r="5" ht="52" customHeight="1" s="6">
      <c r="A5" s="14" t="inlineStr">
        <is>
          <t>L0</t>
        </is>
      </c>
      <c r="B5" s="14" t="inlineStr">
        <is>
          <t>Not Implemented</t>
        </is>
      </c>
      <c r="C5" s="14" t="inlineStr">
        <is>
          <t>尚未實作，僅存在於 roadmap / backlog。</t>
        </is>
      </c>
      <c r="D5" s="14" t="inlineStr">
        <is>
          <t>不可對外宣稱。</t>
        </is>
      </c>
    </row>
    <row r="6" ht="52" customHeight="1" s="6">
      <c r="A6" s="14" t="inlineStr">
        <is>
          <t>L1</t>
        </is>
      </c>
      <c r="B6" s="14" t="inlineStr">
        <is>
          <t>Demo</t>
        </is>
      </c>
      <c r="C6" s="14" t="inlineStr">
        <is>
          <t>可演示或 PoC，但不能依賴於正式演訓或真實場景。</t>
        </is>
      </c>
      <c r="D6" s="14" t="inlineStr">
        <is>
          <t>可在受控 demo 使用，須標示限制。</t>
        </is>
      </c>
    </row>
    <row r="7" ht="52" customHeight="1" s="6">
      <c r="A7" s="14" t="inlineStr">
        <is>
          <t>L2</t>
        </is>
      </c>
      <c r="B7" s="14" t="inlineStr">
        <is>
          <t>Operational</t>
        </is>
      </c>
      <c r="C7" s="14" t="inlineStr">
        <is>
          <t>可在受控正式演訓中穩定使用，有基本錯誤處理與操作流程。</t>
        </is>
      </c>
      <c r="D7" s="14" t="inlineStr">
        <is>
          <t>可作為 Exercise Pro 驗收項。</t>
        </is>
      </c>
    </row>
    <row r="8" ht="52" customHeight="1" s="6">
      <c r="A8" s="14" t="inlineStr">
        <is>
          <t>L3</t>
        </is>
      </c>
      <c r="B8" s="14" t="inlineStr">
        <is>
          <t>Auditable</t>
        </is>
      </c>
      <c r="C8" s="14" t="inlineStr">
        <is>
          <t>具備權限、稽核、證據、測試與可追溯性，可支援採購驗收。</t>
        </is>
      </c>
      <c r="D8" s="14" t="inlineStr">
        <is>
          <t>可作為 GovOps / 標案驗收項。</t>
        </is>
      </c>
    </row>
    <row r="9" ht="52" customHeight="1" s="6">
      <c r="A9" s="14" t="inlineStr">
        <is>
          <t>L4</t>
        </is>
      </c>
      <c r="B9" s="14" t="inlineStr">
        <is>
          <t>Mission-ready</t>
        </is>
      </c>
      <c r="C9" s="14" t="inlineStr">
        <is>
          <t>可支援真實災害輔助或高敏感場景，含 IR/DR、加密、外部稽核與操作訓練。</t>
        </is>
      </c>
      <c r="D9" s="14" t="inlineStr">
        <is>
          <t>僅 Tactical / 高階 GovOps 可主張。</t>
        </is>
      </c>
    </row>
  </sheetData>
  <mergeCells count="2">
    <mergeCell ref="A1:D1"/>
    <mergeCell ref="A2:D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cols>
    <col width="24" customWidth="1" style="6" min="1" max="1"/>
    <col width="38" customWidth="1" style="6" min="2" max="2"/>
    <col width="78" customWidth="1" style="6" min="3" max="3"/>
    <col width="34" customWidth="1" style="6" min="4" max="4"/>
  </cols>
  <sheetData>
    <row r="1" ht="28" customHeight="1" s="6">
      <c r="A1" s="21" t="inlineStr">
        <is>
          <t>Edition Gates</t>
        </is>
      </c>
      <c r="B1" s="9" t="n"/>
      <c r="C1" s="9" t="n"/>
      <c r="D1" s="9" t="n"/>
      <c r="E1" s="17" t="n"/>
      <c r="F1" s="17" t="n"/>
      <c r="G1" s="17" t="n"/>
      <c r="H1" s="17" t="n"/>
      <c r="I1" s="17" t="n"/>
      <c r="J1" s="17" t="n"/>
      <c r="K1" s="17" t="n"/>
      <c r="L1" s="17" t="n"/>
      <c r="M1" s="17" t="n"/>
      <c r="N1" s="17" t="n"/>
      <c r="O1" s="17" t="n"/>
      <c r="P1" s="17" t="n"/>
      <c r="Q1" s="17" t="n"/>
      <c r="R1" s="17" t="n"/>
      <c r="S1" s="17" t="n"/>
      <c r="T1" s="17" t="n"/>
      <c r="U1" s="17" t="n"/>
      <c r="V1" s="17" t="n"/>
      <c r="W1" s="17" t="n"/>
      <c r="X1" s="17" t="n"/>
      <c r="Y1" s="17" t="n"/>
      <c r="Z1" s="17" t="n"/>
    </row>
    <row r="2" ht="34" customHeight="1" s="6">
      <c r="A2" s="5" t="inlineStr">
        <is>
          <t>把 capability 綁到產品版本、可宣稱用途與最低安全/合規條件。</t>
        </is>
      </c>
      <c r="B2" s="9" t="n"/>
      <c r="C2" s="9" t="n"/>
      <c r="D2" s="9" t="n"/>
    </row>
    <row r="4" ht="34" customHeight="1" s="6">
      <c r="A4" s="8" t="inlineStr">
        <is>
          <t>Edition</t>
        </is>
      </c>
      <c r="B4" s="8" t="inlineStr">
        <is>
          <t>Use Case</t>
        </is>
      </c>
      <c r="C4" s="8" t="inlineStr">
        <is>
          <t>Minimum Conditions</t>
        </is>
      </c>
      <c r="D4" s="8" t="inlineStr">
        <is>
          <t>Disclosure / Deliverable Level</t>
        </is>
      </c>
    </row>
    <row r="5" ht="58" customHeight="1" s="6">
      <c r="A5" s="14" t="inlineStr">
        <is>
          <t>Demo / Community</t>
        </is>
      </c>
      <c r="B5" s="14" t="inlineStr">
        <is>
          <t>受控展示、假資料、低敏感資料</t>
        </is>
      </c>
      <c r="C5" s="14" t="inlineStr">
        <is>
          <t>不處理真實個資；安全 baseline 需修掉 current-stage P0。</t>
        </is>
      </c>
      <c r="D5" s="14" t="inlineStr">
        <is>
          <t>Public / Sales Safe</t>
        </is>
      </c>
    </row>
    <row r="6" ht="58" customHeight="1" s="6">
      <c r="A6" s="14" t="inlineStr">
        <is>
          <t>Exercise Pro</t>
        </is>
      </c>
      <c r="B6" s="14" t="inlineStr">
        <is>
          <t>正式演訓、TTX、AAR、基本資安</t>
        </is>
      </c>
      <c r="C6" s="14" t="inlineStr">
        <is>
          <t>需完成 Trusted Ingest、基本 RBAC、AAR 可追溯初版、備份還原。</t>
        </is>
      </c>
      <c r="D6" s="14" t="inlineStr">
        <is>
          <t>Customer Deliverable</t>
        </is>
      </c>
    </row>
    <row r="7" ht="58" customHeight="1" s="6">
      <c r="A7" s="14" t="inlineStr">
        <is>
          <t>GovOps</t>
        </is>
      </c>
      <c r="B7" s="14" t="inlineStr">
        <is>
          <t>政府採購、個資、audit、DR、正式驗收</t>
        </is>
      </c>
      <c r="C7" s="14" t="inlineStr">
        <is>
          <t>需 C1/C2/C3 證據包、PII 控制、audit evidence、IR/DR、SBOM。</t>
        </is>
      </c>
      <c r="D7" s="14" t="inlineStr">
        <is>
          <t>Customer Deliverable / Procurement</t>
        </is>
      </c>
    </row>
    <row r="8" ht="58" customHeight="1" s="6">
      <c r="A8" s="14" t="inlineStr">
        <is>
          <t>Tactical</t>
        </is>
      </c>
      <c r="B8" s="14" t="inlineStr">
        <is>
          <t>Field Node、戰術敏感、高安全部署</t>
        </is>
      </c>
      <c r="C8" s="14" t="inlineStr">
        <is>
          <t>需裝置憑證、mTLS/WireGuard、Panic Wipe、LUKS、戰術資料治理。</t>
        </is>
      </c>
      <c r="D8" s="14" t="inlineStr">
        <is>
          <t>Partner Restricted</t>
        </is>
      </c>
    </row>
  </sheetData>
  <mergeCells count="2">
    <mergeCell ref="A1:D1"/>
    <mergeCell ref="A2:D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cols>
    <col width="30" customWidth="1" style="6" min="1" max="1"/>
    <col width="82" customWidth="1" style="6" min="2" max="2"/>
    <col width="28" customWidth="1" style="6" min="3" max="3"/>
    <col width="26" customWidth="1" style="6" min="4" max="4"/>
  </cols>
  <sheetData>
    <row r="1" ht="28" customHeight="1" s="6">
      <c r="A1" s="21" t="inlineStr">
        <is>
          <t>Acceptance Evidence</t>
        </is>
      </c>
      <c r="B1" s="9" t="n"/>
      <c r="C1" s="9" t="n"/>
      <c r="D1" s="9" t="n"/>
      <c r="E1" s="17" t="n"/>
      <c r="F1" s="17" t="n"/>
      <c r="G1" s="17" t="n"/>
      <c r="H1" s="17" t="n"/>
      <c r="I1" s="17" t="n"/>
      <c r="J1" s="17" t="n"/>
      <c r="K1" s="17" t="n"/>
      <c r="L1" s="17" t="n"/>
      <c r="M1" s="17" t="n"/>
      <c r="N1" s="17" t="n"/>
      <c r="O1" s="17" t="n"/>
      <c r="P1" s="17" t="n"/>
      <c r="Q1" s="17" t="n"/>
      <c r="R1" s="17" t="n"/>
      <c r="S1" s="17" t="n"/>
      <c r="T1" s="17" t="n"/>
      <c r="U1" s="17" t="n"/>
      <c r="V1" s="17" t="n"/>
      <c r="W1" s="17" t="n"/>
      <c r="X1" s="17" t="n"/>
      <c r="Y1" s="17" t="n"/>
      <c r="Z1" s="17" t="n"/>
    </row>
    <row r="2" ht="34" customHeight="1" s="6">
      <c r="A2" s="5" t="inlineStr">
        <is>
          <t>常見 capability 的驗收證據索引；主表 Evidence Required 欄可連回本頁。</t>
        </is>
      </c>
      <c r="B2" s="9" t="n"/>
      <c r="C2" s="9" t="n"/>
      <c r="D2" s="9" t="n"/>
    </row>
    <row r="4" ht="34" customHeight="1" s="6">
      <c r="A4" s="8" t="inlineStr">
        <is>
          <t>Capability</t>
        </is>
      </c>
      <c r="B4" s="8" t="inlineStr">
        <is>
          <t>Evidence Required</t>
        </is>
      </c>
      <c r="C4" s="8" t="inlineStr">
        <is>
          <t>Edition / Gate</t>
        </is>
      </c>
      <c r="D4" s="8" t="inlineStr">
        <is>
          <t>Owner</t>
        </is>
      </c>
    </row>
    <row r="5" ht="52" customHeight="1" s="6">
      <c r="A5" s="14" t="inlineStr">
        <is>
          <t>TTX Inject</t>
        </is>
      </c>
      <c r="B5" s="14" t="inlineStr">
        <is>
          <t>Inject 簽章測試、送達/閱讀/回應紀錄、TTX/real session 隔離測試</t>
        </is>
      </c>
      <c r="C5" s="14" t="inlineStr">
        <is>
          <t>Exercise Pro / GovOps</t>
        </is>
      </c>
      <c r="D5" s="14" t="inlineStr">
        <is>
          <t>TTX / Security</t>
        </is>
      </c>
    </row>
    <row r="6" ht="52" customHeight="1" s="6">
      <c r="A6" s="14" t="inlineStr">
        <is>
          <t>AAR Timeline</t>
        </is>
      </c>
      <c r="B6" s="14" t="inlineStr">
        <is>
          <t>AAR 匯出、事件來源連結、audit 對照、回放測試</t>
        </is>
      </c>
      <c r="C6" s="14" t="inlineStr">
        <is>
          <t>Exercise Pro / GovOps</t>
        </is>
      </c>
      <c r="D6" s="14" t="inlineStr">
        <is>
          <t>AAR / QA</t>
        </is>
      </c>
    </row>
    <row r="7" ht="52" customHeight="1" s="6">
      <c r="A7" s="14" t="inlineStr">
        <is>
          <t>Command COP</t>
        </is>
      </c>
      <c r="B7" s="14" t="inlineStr">
        <is>
          <t>E2E 資料流測試、dashboard 截圖、資料來源時間標示</t>
        </is>
      </c>
      <c r="C7" s="14" t="inlineStr">
        <is>
          <t>Exercise Pro</t>
        </is>
      </c>
      <c r="D7" s="14" t="inlineStr">
        <is>
          <t>Product / Frontend</t>
        </is>
      </c>
    </row>
    <row r="8" ht="52" customHeight="1" s="6">
      <c r="A8" s="14" t="inlineStr">
        <is>
          <t>PWA Field Report</t>
        </is>
      </c>
      <c r="B8" s="14" t="inlineStr">
        <is>
          <t>離線填報測試、恢復同步測試、採納/退回流程測試</t>
        </is>
      </c>
      <c r="C8" s="14" t="inlineStr">
        <is>
          <t>Exercise Pro</t>
        </is>
      </c>
      <c r="D8" s="14" t="inlineStr">
        <is>
          <t>PWA / QA</t>
        </is>
      </c>
    </row>
    <row r="9" ht="52" customHeight="1" s="6">
      <c r="A9" s="14" t="inlineStr">
        <is>
          <t>Trusted Ingest</t>
        </is>
      </c>
      <c r="B9" s="14" t="inlineStr">
        <is>
          <t>無簽章拒收、重放拒收、body tamper 拒收、key rotation 測試</t>
        </is>
      </c>
      <c r="C9" s="14" t="inlineStr">
        <is>
          <t>Exercise Pro / GovOps</t>
        </is>
      </c>
      <c r="D9" s="14" t="inlineStr">
        <is>
          <t>Security / Backend</t>
        </is>
      </c>
    </row>
    <row r="10" ht="52" customHeight="1" s="6">
      <c r="A10" s="14" t="inlineStr">
        <is>
          <t>WebSocket Gate</t>
        </is>
      </c>
      <c r="B10" s="14" t="inlineStr">
        <is>
          <t>未 auth delta/sync_push 拒收、session_restore 不接受 client 自報 role</t>
        </is>
      </c>
      <c r="C10" s="14" t="inlineStr">
        <is>
          <t>Exercise Pro / GovOps</t>
        </is>
      </c>
      <c r="D10" s="14" t="inlineStr">
        <is>
          <t>Node / Security</t>
        </is>
      </c>
    </row>
    <row r="11" ht="52" customHeight="1" s="6">
      <c r="A11" s="14" t="inlineStr">
        <is>
          <t>RBAC</t>
        </is>
      </c>
      <c r="B11" s="14" t="inlineStr">
        <is>
          <t>Endpoint role matrix、API regression tests、session revoke 測試</t>
        </is>
      </c>
      <c r="C11" s="14" t="inlineStr">
        <is>
          <t>GovOps</t>
        </is>
      </c>
      <c r="D11" s="14" t="inlineStr">
        <is>
          <t>Backend / Security</t>
        </is>
      </c>
    </row>
    <row r="12" ht="52" customHeight="1" s="6">
      <c r="A12" s="14" t="inlineStr">
        <is>
          <t>Audit Evidence</t>
        </is>
      </c>
      <c r="B12" s="14" t="inlineStr">
        <is>
          <t>Hash chain 驗證、append-only trigger、reset 不刪 audit 測試</t>
        </is>
      </c>
      <c r="C12" s="14" t="inlineStr">
        <is>
          <t>GovOps</t>
        </is>
      </c>
      <c r="D12" s="14" t="inlineStr">
        <is>
          <t>Security / Backend</t>
        </is>
      </c>
    </row>
    <row r="13" ht="52" customHeight="1" s="6">
      <c r="A13" s="14" t="inlineStr">
        <is>
          <t>Backup / Restore</t>
        </is>
      </c>
      <c r="B13" s="14" t="inlineStr">
        <is>
          <t>Online backup、checksum verify、restore drill report、retention 記錄</t>
        </is>
      </c>
      <c r="C13" s="14" t="inlineStr">
        <is>
          <t>GovOps</t>
        </is>
      </c>
      <c r="D13" s="14" t="inlineStr">
        <is>
          <t>DevOps</t>
        </is>
      </c>
    </row>
    <row r="14" ht="52" customHeight="1" s="6">
      <c r="A14" s="14" t="inlineStr">
        <is>
          <t>Release Evidence Pack</t>
        </is>
      </c>
      <c r="B14" s="14" t="inlineStr">
        <is>
          <t>Coverage、SAST/SCA、SBOM、known issues、acceptance matrix</t>
        </is>
      </c>
      <c r="C14" s="14" t="inlineStr">
        <is>
          <t>GovOps / C6</t>
        </is>
      </c>
      <c r="D14" s="14" t="inlineStr">
        <is>
          <t>Release / PM</t>
        </is>
      </c>
    </row>
  </sheetData>
  <mergeCells count="2">
    <mergeCell ref="A1:D1"/>
    <mergeCell ref="A2:D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2026-04-27T03:35:46Z</dcterms:created>
  <dcterms:modified xmlns:dcterms="http://purl.org/dc/terms/" xmlns:xsi="http://www.w3.org/2001/XMLSchema-instance" xsi:type="dcterms:W3CDTF">2026-04-27T03:35:47Z</dcterms:modified>
</cp:coreProperties>
</file>